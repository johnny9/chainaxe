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6edbd33bf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ering BOM" sheetId="1" r:id="R5eed43e8664b4d90"/>
    <x:sheet xmlns:r="http://schemas.openxmlformats.org/officeDocument/2006/relationships" name="JLC Upload" sheetId="2" r:id="Rf2610ad018434e9d"/>
    <x:sheet xmlns:r="http://schemas.openxmlformats.org/officeDocument/2006/relationships" name="Summary" sheetId="3" r:id="Rd337c075dace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2704"/>
      <x:name val="Carlito"/>
    </x:font>
    <x:font>
      <x:sz val="11"/>
      <x:color rgb="FF7F6000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</x:fills>
  <x:borders count="12">
    <x:border/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b4fe6963e4599" /><Relationship Type="http://schemas.openxmlformats.org/officeDocument/2006/relationships/theme" Target="/xl/theme/theme1.xml" Id="R0ea1525284424136" /><Relationship Type="http://schemas.openxmlformats.org/officeDocument/2006/relationships/sharedStrings" Target="/xl/sharedStrings.xml" Id="R0ee851fa6dfa4f22" /><Relationship Type="http://schemas.openxmlformats.org/officeDocument/2006/relationships/worksheet" Target="/xl/worksheets/sheet1.xml" Id="R5eed43e8664b4d90" /><Relationship Type="http://schemas.openxmlformats.org/officeDocument/2006/relationships/worksheet" Target="/xl/worksheets/sheet2.xml" Id="Rf2610ad018434e9d" /><Relationship Type="http://schemas.openxmlformats.org/officeDocument/2006/relationships/worksheet" Target="/xl/worksheets/sheet3.xml" Id="Rd337c075dace410a" /></Relationships>
</file>

<file path=xl/tables/table1.xml><?xml version="1.0" encoding="utf-8"?>
<x:table xmlns:x="http://schemas.openxmlformats.org/spreadsheetml/2006/main" id="1" name="EngineeringBomTable" displayName="EngineeringBomTable" ref="A1:L66" headerRowCount="1" totalsRowCount="0" totalsRowShown="0">
  <x:autoFilter ref="A1:L66"/>
  <x:tableColumns count="12">
    <x:tableColumn id="1" name="Status"/>
    <x:tableColumn id="2" name="Designator"/>
    <x:tableColumn id="3" name="Qty"/>
    <x:tableColumn id="4" name="Function"/>
    <x:tableColumn id="5" name="Value"/>
    <x:tableColumn id="6" name="Manufacturer"/>
    <x:tableColumn id="7" name="MPN"/>
    <x:tableColumn id="8" name="Footprint"/>
    <x:tableColumn id="9" name="LCSC Part #"/>
    <x:tableColumn id="10" name="Assembly"/>
    <x:tableColumn id="11" name="Population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lcUploadTable" displayName="JlcUploadTable" ref="A1:D25" headerRowCount="1" totalsRowCount="0" totalsRowShown="0">
  <x:autoFilter ref="A1:D25"/>
  <x:tableColumns count="4">
    <x:tableColumn id="1" name="Comment"/>
    <x:tableColumn id="2" name="Designator"/>
    <x:tableColumn id="3" name="Footprint"/>
    <x:tableColumn id="4" name="LCSC Part #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8f441e9eb41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93d2575f3947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7" hidden="0" customWidth="1"/>
    <x:col min="4" max="4" width="28" hidden="0" customWidth="1"/>
    <x:col min="5" max="5" width="24" hidden="0" customWidth="1"/>
    <x:col min="6" max="6" width="23" hidden="0" customWidth="1"/>
    <x:col min="7" max="7" width="23" hidden="0" customWidth="1"/>
    <x:col min="8" max="8" width="25" hidden="0" customWidth="1"/>
    <x:col min="9" max="9" width="16" hidden="0" customWidth="1"/>
    <x:col min="10" max="10" width="20" hidden="0" customWidth="1"/>
    <x:col min="11" max="11" width="20" hidden="0" customWidth="1"/>
    <x:col min="12" max="12" width="55" hidden="0" customWidth="1"/>
  </x:cols>
  <x:sheetData>
    <x:row r="1" ht="30" customHeight="1">
      <x:c r="A1" s="52" t="str">
        <x:v>Status</x:v>
      </x:c>
      <x:c r="B1" s="52" t="str">
        <x:v>Designator</x:v>
      </x:c>
      <x:c r="C1" s="52" t="str">
        <x:v>Qty</x:v>
      </x:c>
      <x:c r="D1" s="52" t="str">
        <x:v>Function</x:v>
      </x:c>
      <x:c r="E1" s="52" t="str">
        <x:v>Value</x:v>
      </x:c>
      <x:c r="F1" s="52" t="str">
        <x:v>Manufacturer</x:v>
      </x:c>
      <x:c r="G1" s="52" t="str">
        <x:v>MPN</x:v>
      </x:c>
      <x:c r="H1" s="52" t="str">
        <x:v>Footprint</x:v>
      </x:c>
      <x:c r="I1" s="52" t="str">
        <x:v>LCSC Part #</x:v>
      </x:c>
      <x:c r="J1" s="52" t="str">
        <x:v>Assembly</x:v>
      </x:c>
      <x:c r="K1" s="52" t="str">
        <x:v>Population</x:v>
      </x:c>
      <x:c r="L1" s="52" t="str">
        <x:v>Notes</x:v>
      </x:c>
    </x:row>
    <x:row r="2">
      <x:c r="A2" s="64" t="str">
        <x:v>EXACT_CANDIDATE</x:v>
      </x:c>
      <x:c r="B2" s="64" t="str">
        <x:v>U1</x:v>
      </x:c>
      <x:c r="C2" s="64" t="str">
        <x:v>1</x:v>
      </x:c>
      <x:c r="D2" s="64" t="str">
        <x:v>MCU module</x:v>
      </x:c>
      <x:c r="E2" s="64" t="str">
        <x:v>ESP32-S3-WROOM-1-N16R8</x:v>
      </x:c>
      <x:c r="F2" s="64" t="str">
        <x:v>Espressif</x:v>
      </x:c>
      <x:c r="G2" s="64" t="str">
        <x:v>ESP32-S3-WROOM-1-N16R8</x:v>
      </x:c>
      <x:c r="H2" s="64" t="str">
        <x:v>ChainAxe:ESP32-S3-WROOM-1_v1.8</x:v>
      </x:c>
      <x:c r="I2" s="64" t="str">
        <x:v>C2913202</x:v>
      </x:c>
      <x:c r="J2" s="64" t="str">
        <x:v>SMT extended</x:v>
      </x:c>
      <x:c r="K2" s="64" t="str">
        <x:v>POPULATE</x:v>
      </x:c>
      <x:c r="L2" s="64" t="str">
        <x:v>Project-local footprint follows Espressif v1.8 land pattern with 3.7 mm center pad/vias and antenna keepout; verify metal-chassis strategy</x:v>
      </x:c>
    </x:row>
    <x:row r="3">
      <x:c r="A3" s="64" t="str">
        <x:v>PROVISIONAL</x:v>
      </x:c>
      <x:c r="B3" s="64" t="str">
        <x:v>U2</x:v>
      </x:c>
      <x:c r="C3" s="64" t="str">
        <x:v>1</x:v>
      </x:c>
      <x:c r="D3" s="64" t="str">
        <x:v>Four-channel fan controller</x:v>
      </x:c>
      <x:c r="E3" s="64" t="str">
        <x:v>EMC2305</x:v>
      </x:c>
      <x:c r="F3" s="64" t="str">
        <x:v>Microchip</x:v>
      </x:c>
      <x:c r="G3" s="64" t="str">
        <x:v>EMC2305-1-AP-TR</x:v>
      </x:c>
      <x:c r="H3" s="64" t="str">
        <x:v>ChainAxe:EMC2305_QFN16_4x4_P0.65_EP2.2</x:v>
      </x:c>
      <x:c r="I3" s="64" t="str">
        <x:v>C621415</x:v>
      </x:c>
      <x:c r="J3" s="64" t="str">
        <x:v>SMT extended</x:v>
      </x:c>
      <x:c r="K3" s="64" t="str">
        <x:v>POPULATE</x:v>
      </x:c>
      <x:c r="L3" s="64" t="str">
        <x:v>AP-specific 2.2 mm exposed land with paste windowing and thermal vias; use channels 1-4; fifth channel NC</x:v>
      </x:c>
    </x:row>
    <x:row r="4">
      <x:c r="A4" s="64" t="str">
        <x:v>PROVISIONAL</x:v>
      </x:c>
      <x:c r="B4" s="64" t="str">
        <x:v>U3</x:v>
      </x:c>
      <x:c r="C4" s="64" t="str">
        <x:v>1</x:v>
      </x:c>
      <x:c r="D4" s="64" t="str">
        <x:v>3.3 V synchronous buck</x:v>
      </x:c>
      <x:c r="E4" s="64" t="str">
        <x:v>AP64501</x:v>
      </x:c>
      <x:c r="F4" s="64" t="str">
        <x:v>Diodes Incorporated</x:v>
      </x:c>
      <x:c r="G4" s="64" t="str">
        <x:v>AP64501SP-13</x:v>
      </x:c>
      <x:c r="H4" s="64" t="str">
        <x:v>ChainAxe:AP64501_SO8EP</x:v>
      </x:c>
      <x:c r="I4" s="64" t="str">
        <x:v>C2071517</x:v>
      </x:c>
      <x:c r="J4" s="64" t="str">
        <x:v>SMT extended</x:v>
      </x:c>
      <x:c r="K4" s="64" t="str">
        <x:v>POPULATE</x:v>
      </x:c>
      <x:c r="L4" s="64" t="str">
        <x:v>Project-local Diodes land/paste/thermal-via pattern; DS41980 Table 1 starting cell is implemented; validate loop stability, transients, and thermal margin</x:v>
      </x:c>
    </x:row>
    <x:row r="5">
      <x:c r="A5" s="64" t="str">
        <x:v>PROVISIONAL</x:v>
      </x:c>
      <x:c r="B5" s="64" t="str">
        <x:v>L1</x:v>
      </x:c>
      <x:c r="C5" s="64" t="str">
        <x:v>1</x:v>
      </x:c>
      <x:c r="D5" s="64" t="str">
        <x:v>Buck inductor</x:v>
      </x:c>
      <x:c r="E5" s="64" t="str">
        <x:v>3.3 uH</x:v>
      </x:c>
      <x:c r="F5" s="64" t="str">
        <x:v>Bourns</x:v>
      </x:c>
      <x:c r="G5" s="64" t="str">
        <x:v>SRP5030T-3R3M</x:v>
      </x:c>
      <x:c r="H5" s="64" t="str">
        <x:v>Inductor_SMD:L_Bourns-SRP5030TA_5.7x5.2mm</x:v>
      </x:c>
      <x:c r="I5" s="64" t="str">
        <x:v>C189931</x:v>
      </x:c>
      <x:c r="J5" s="64" t="str">
        <x:v>SMT extended</x:v>
      </x:c>
      <x:c r="K5" s="64" t="str">
        <x:v>POPULATE</x:v>
      </x:c>
      <x:c r="L5" s="64" t="str">
        <x:v>Recalculate saturation and RMS current for the final 3.3 V design</x:v>
      </x:c>
    </x:row>
    <x:row r="6">
      <x:c r="A6" s="64" t="str">
        <x:v>PROVISIONAL</x:v>
      </x:c>
      <x:c r="B6" s="64" t="str">
        <x:v>U5</x:v>
      </x:c>
      <x:c r="C6" s="64" t="str">
        <x:v>1</x:v>
      </x:c>
      <x:c r="D6" s="64" t="str">
        <x:v>Switched hashboard logic supply</x:v>
      </x:c>
      <x:c r="E6" s="64" t="str">
        <x:v>3.3 V 2 A load switch</x:v>
      </x:c>
      <x:c r="F6" s="64" t="str">
        <x:v>Texas Instruments</x:v>
      </x:c>
      <x:c r="G6" s="64" t="str">
        <x:v>TPS22917DBVR</x:v>
      </x:c>
      <x:c r="H6" s="64" t="str">
        <x:v>Package_TO_SOT_SMD:SOT-23-6</x:v>
      </x:c>
      <x:c r="I6" s="64" t="str">
        <x:v>C2681320</x:v>
      </x:c>
      <x:c r="J6" s="64" t="str">
        <x:v>SMT extended</x:v>
      </x:c>
      <x:c r="K6" s="64" t="str">
        <x:v>POPULATE</x:v>
      </x:c>
      <x:c r="L6" s="64" t="str">
        <x:v>Controller sources J10 pin 16; R50 holds the switch off at reset</x:v>
      </x:c>
    </x:row>
    <x:row r="7">
      <x:c r="A7" s="64" t="str">
        <x:v>PROVISIONAL</x:v>
      </x:c>
      <x:c r="B7" s="64" t="str">
        <x:v>U6</x:v>
      </x:c>
      <x:c r="C7" s="64" t="str">
        <x:v>1</x:v>
      </x:c>
      <x:c r="D7" s="64" t="str">
        <x:v>Gated hashboard UART/PLUG interface</x:v>
      </x:c>
      <x:c r="E7" s="64" t="str">
        <x:v>SN74AXC4T774</x:v>
      </x:c>
      <x:c r="F7" s="64" t="str">
        <x:v>Texas Instruments</x:v>
      </x:c>
      <x:c r="G7" s="64" t="str">
        <x:v>SN74AXC4T774PWR</x:v>
      </x:c>
      <x:c r="H7" s="64" t="str">
        <x:v>Package_SO:TSSOP-16_4.4x5mm_P0.65mm</x:v>
      </x:c>
      <x:c r="I7" s="64" t="str">
        <x:v>C1849453</x:v>
      </x:c>
      <x:c r="J7" s="64" t="str">
        <x:v>SMT extended</x:v>
      </x:c>
      <x:c r="K7" s="64" t="str">
        <x:v>POPULATE</x:v>
      </x:c>
      <x:c r="L7" s="64" t="str">
        <x:v>Both domains are 3.3 V; directions and OE mapping are frozen in the schematic</x:v>
      </x:c>
    </x:row>
    <x:row r="8">
      <x:c r="A8" s="64" t="str">
        <x:v>EXACT_CANDIDATE</x:v>
      </x:c>
      <x:c r="B8" s="64" t="str">
        <x:v>U7</x:v>
      </x:c>
      <x:c r="C8" s="64" t="str">
        <x:v>1</x:v>
      </x:c>
      <x:c r="D8" s="64" t="str">
        <x:v>Powered-off-protected hashboard I2C switch</x:v>
      </x:c>
      <x:c r="E8" s="64" t="str">
        <x:v>TMUX1511</x:v>
      </x:c>
      <x:c r="F8" s="64" t="str">
        <x:v>Texas Instruments</x:v>
      </x:c>
      <x:c r="G8" s="64" t="str">
        <x:v>TMUX1511PWR</x:v>
      </x:c>
      <x:c r="H8" s="64" t="str">
        <x:v>Package_SO:TSSOP-14_4.4x5mm_P0.65mm</x:v>
      </x:c>
      <x:c r="I8" s="64" t="str">
        <x:v>C2866750</x:v>
      </x:c>
      <x:c r="J8" s="64" t="str">
        <x:v>SMT extended</x:v>
      </x:c>
      <x:c r="K8" s="64" t="str">
        <x:v>POPULATE</x:v>
      </x:c>
      <x:c r="L8" s="64" t="str">
        <x:v>VDD from switched HB_3V3; channels 1/2 carry SCL/SDA; R84 disables both used channels by default</x:v>
      </x:c>
    </x:row>
    <x:row r="9">
      <x:c r="A9" s="64" t="str">
        <x:v>EXACT_CANDIDATE</x:v>
      </x:c>
      <x:c r="B9" s="64" t="str">
        <x:v>U8</x:v>
      </x:c>
      <x:c r="C9" s="64" t="str">
        <x:v>1</x:v>
      </x:c>
      <x:c r="D9" s="64" t="str">
        <x:v>Four-channel active-high tri-state fan buffer</x:v>
      </x:c>
      <x:c r="E9" s="64" t="str">
        <x:v>SN74LVC126A</x:v>
      </x:c>
      <x:c r="F9" s="64" t="str">
        <x:v>Texas Instruments</x:v>
      </x:c>
      <x:c r="G9" s="64" t="str">
        <x:v>SN74LVC126APWR</x:v>
      </x:c>
      <x:c r="H9" s="64" t="str">
        <x:v>Package_SO:TSSOP-14_4.4x5mm_P0.65mm</x:v>
      </x:c>
      <x:c r="I9" s="64" t="str">
        <x:v>C7815</x:v>
      </x:c>
      <x:c r="J9" s="64" t="str">
        <x:v>SMT extended</x:v>
      </x:c>
      <x:c r="K9" s="64" t="str">
        <x:v>POPULATE</x:v>
      </x:c>
      <x:c r="L9" s="64" t="str">
        <x:v>R105 leaves all 2N7002 sinks off; verify float-PWM full-speed behavior with the exact fan</x:v>
      </x:c>
    </x:row>
    <x:row r="10">
      <x:c r="A10" s="64" t="str">
        <x:v>EXACT_CANDIDATE</x:v>
      </x:c>
      <x:c r="B10" s="64" t="str">
        <x:v>U12</x:v>
      </x:c>
      <x:c r="C10" s="64" t="str">
        <x:v>1</x:v>
      </x:c>
      <x:c r="D10" s="64" t="str">
        <x:v>Independent gated hashboard reset buffer</x:v>
      </x:c>
      <x:c r="E10" s="64" t="str">
        <x:v>SN74LVC1G125</x:v>
      </x:c>
      <x:c r="F10" s="64" t="str">
        <x:v>Texas Instruments</x:v>
      </x:c>
      <x:c r="G10" s="64" t="str">
        <x:v>SN74LVC1G125DBVR</x:v>
      </x:c>
      <x:c r="H10" s="64" t="str">
        <x:v>Package_TO_SOT_SMD:SOT-23-5</x:v>
      </x:c>
      <x:c r="I10" s="64" t="str">
        <x:v>C23654</x:v>
      </x:c>
      <x:c r="J10" s="64" t="str">
        <x:v>SMT extended</x:v>
      </x:c>
      <x:c r="K10" s="64" t="str">
        <x:v>POPULATE</x:v>
      </x:c>
      <x:c r="L10" s="64" t="str">
        <x:v>R89 is the mandatory 10k active-low OE pullup; default S21 assembly leaves R90 open/DNP</x:v>
      </x:c>
    </x:row>
    <x:row r="11">
      <x:c r="A11" s="64" t="str">
        <x:v>EXACT_CANDIDATE</x:v>
      </x:c>
      <x:c r="B11" s="64" t="str">
        <x:v>Q1,Q2,Q3,Q4</x:v>
      </x:c>
      <x:c r="C11" s="64" t="str">
        <x:v>4</x:v>
      </x:c>
      <x:c r="D11" s="64" t="str">
        <x:v>Fan open-drain PWM sinks</x:v>
      </x:c>
      <x:c r="E11" s="64" t="str">
        <x:v>2N7002</x:v>
      </x:c>
      <x:c r="F11" s="64" t="str">
        <x:v>Nexperia or approved</x:v>
      </x:c>
      <x:c r="G11" s="64" t="str">
        <x:v>2N7002</x:v>
      </x:c>
      <x:c r="H11" s="64" t="str">
        <x:v>Package_TO_SOT_SMD:SOT-23</x:v>
      </x:c>
      <x:c r="I11" s="64" t="str">
        <x:v>C8545</x:v>
      </x:c>
      <x:c r="J11" s="64" t="str">
        <x:v>SMT basic</x:v>
      </x:c>
      <x:c r="K11" s="64" t="str">
        <x:v>POPULATE</x:v>
      </x:c>
      <x:c r="L11" s="64" t="str">
        <x:v>R200/R203/R206/R209 are gate pulldowns; drain connects to each fan PWM line</x:v>
      </x:c>
    </x:row>
    <x:row r="12">
      <x:c r="A12" s="64" t="str">
        <x:v>PROVISIONAL</x:v>
      </x:c>
      <x:c r="B12" s="64" t="str">
        <x:v>Q5,Q6</x:v>
      </x:c>
      <x:c r="C12" s="64" t="str">
        <x:v>2</x:v>
      </x:c>
      <x:c r="D12" s="64" t="str">
        <x:v>Parallel high-side fan-input reverse-polarity FETs</x:v>
      </x:c>
      <x:c r="E12" s="64" t="str">
        <x:v>-30 V P-channel</x:v>
      </x:c>
      <x:c r="F12" s="64" t="str">
        <x:v>Diodes Incorporated</x:v>
      </x:c>
      <x:c r="G12" s="64" t="str">
        <x:v>DMP3013SFV-7</x:v>
      </x:c>
      <x:c r="H12" s="64" t="str">
        <x:v>ChainAxe:PowerDI3333-8_DMP3013SFV</x:v>
      </x:c>
      <x:c r="I12" s="64" t="str">
        <x:v>C264098</x:v>
      </x:c>
      <x:c r="J12" s="64" t="str">
        <x:v>SMT extended</x:v>
      </x:c>
      <x:c r="K12" s="64" t="str">
        <x:v>SELECT_BEFORE_RELEASE</x:v>
      </x:c>
      <x:c r="L12" s="64" t="str">
        <x:v>Use exact Diodes Type-UX mapping; validate paste, SOA, current sharing, Rds(on), copper, and simultaneous fan startup/stall thermals</x:v>
      </x:c>
    </x:row>
    <x:row r="13">
      <x:c r="A13" s="64" t="str">
        <x:v>EXACT_CANDIDATE</x:v>
      </x:c>
      <x:c r="B13" s="64" t="str">
        <x:v>ZD1</x:v>
      </x:c>
      <x:c r="C13" s="64" t="str">
        <x:v>1</x:v>
      </x:c>
      <x:c r="D13" s="64" t="str">
        <x:v>Fan-input MOSFET gate clamp</x:v>
      </x:c>
      <x:c r="E13" s="64" t="str">
        <x:v>12 V Zener</x:v>
      </x:c>
      <x:c r="F13" s="64" t="str">
        <x:v>onsemi</x:v>
      </x:c>
      <x:c r="G13" s="64" t="str">
        <x:v>BZX84C12LT1G</x:v>
      </x:c>
      <x:c r="H13" s="64" t="str">
        <x:v>Package_TO_SOT_SMD:SOT-23</x:v>
      </x:c>
      <x:c r="I13" s="64" t="str">
        <x:v>C82475</x:v>
      </x:c>
      <x:c r="J13" s="64" t="str">
        <x:v>SMT extended</x:v>
      </x:c>
      <x:c r="K13" s="64" t="str">
        <x:v>SELECT_BEFORE_RELEASE</x:v>
      </x:c>
      <x:c r="L13" s="64" t="str">
        <x:v>Pin 1 anode to gate; pin 2 NC; pin 3 cathode to protected FAN_12V; validate dissipation and transients</x:v>
      </x:c>
    </x:row>
    <x:row r="14">
      <x:c r="A14" s="64" t="str">
        <x:v>EXACT_CANDIDATE</x:v>
      </x:c>
      <x:c r="B14" s="64" t="str">
        <x:v>U9</x:v>
      </x:c>
      <x:c r="C14" s="64" t="str">
        <x:v>1</x:v>
      </x:c>
      <x:c r="D14" s="64" t="str">
        <x:v>USB low-capacitance ESD</x:v>
      </x:c>
      <x:c r="E14" s="64" t="str">
        <x:v>USBLC6-2SC6</x:v>
      </x:c>
      <x:c r="F14" s="64" t="str">
        <x:v>STMicroelectronics</x:v>
      </x:c>
      <x:c r="G14" s="64" t="str">
        <x:v>USBLC6-2SC6</x:v>
      </x:c>
      <x:c r="H14" s="64" t="str">
        <x:v>Package_TO_SOT_SMD:SOT-23-6</x:v>
      </x:c>
      <x:c r="I14" s="64" t="str">
        <x:v>C7519</x:v>
      </x:c>
      <x:c r="J14" s="64" t="str">
        <x:v>SMT extended</x:v>
      </x:c>
      <x:c r="K14" s="64" t="str">
        <x:v>POPULATE</x:v>
      </x:c>
      <x:c r="L14" s="64" t="str">
        <x:v>Place immediately behind the USB receptacle</x:v>
      </x:c>
    </x:row>
    <x:row r="15">
      <x:c r="A15" s="64" t="str">
        <x:v>EXACT_CANDIDATE</x:v>
      </x:c>
      <x:c r="B15" s="64" t="str">
        <x:v>U10,U11,U13</x:v>
      </x:c>
      <x:c r="C15" s="64" t="str">
        <x:v>3</x:v>
      </x:c>
      <x:c r="D15" s="64" t="str">
        <x:v>Cable-side 3.3 V ESD array</x:v>
      </x:c>
      <x:c r="E15" s="64" t="str">
        <x:v>TPD4E05U06</x:v>
      </x:c>
      <x:c r="F15" s="64" t="str">
        <x:v>Texas Instruments</x:v>
      </x:c>
      <x:c r="G15" s="64" t="str">
        <x:v>TPD4E05U06DQAR</x:v>
      </x:c>
      <x:c r="H15" s="64" t="str">
        <x:v>ChainAxe:TI_DQA0010A_USON10_2.5x1.0_P0.5</x:v>
      </x:c>
      <x:c r="I15" s="64" t="str">
        <x:v>C138714</x:v>
      </x:c>
      <x:c r="J15" s="64" t="str">
        <x:v>SMT extended</x:v>
      </x:c>
      <x:c r="K15" s="64" t="str">
        <x:v>POPULATE</x:v>
      </x:c>
      <x:c r="L15" s="64" t="str">
        <x:v>TI DQA0010A map and land: shunts 1/2/4/5; enlarged GND 3/8; NC 6/7/9/10; verify pin 1 at J10</x:v>
      </x:c>
    </x:row>
    <x:row r="16">
      <x:c r="A16" s="64" t="str">
        <x:v>PROVISIONAL</x:v>
      </x:c>
      <x:c r="B16" s="64" t="str">
        <x:v>D1,D2,D3</x:v>
      </x:c>
      <x:c r="C16" s="64" t="str">
        <x:v>3</x:v>
      </x:c>
      <x:c r="D16" s="64" t="str">
        <x:v>Logic-source OR Schottky</x:v>
      </x:c>
      <x:c r="E16" s="64" t="str">
        <x:v>1 A 40 V</x:v>
      </x:c>
      <x:c r="F16" s="64" t="str">
        <x:v>Multiple</x:v>
      </x:c>
      <x:c r="G16" s="64" t="str">
        <x:v>SS14</x:v>
      </x:c>
      <x:c r="H16" s="64" t="str">
        <x:v>Diode_SMD:D_SMA</x:v>
      </x:c>
      <x:c r="I16" s="64" t="str">
        <x:v>TBD</x:v>
      </x:c>
      <x:c r="J16" s="64" t="str">
        <x:v>SMT</x:v>
      </x:c>
      <x:c r="K16" s="64" t="str">
        <x:v>POPULATE</x:v>
      </x:c>
      <x:c r="L16" s="64" t="str">
        <x:v>D1 gives J6 reverse blocking; D2 is JP1-qualified FAN_12V; D3 is USB_VBUS; select exact MPN/LCSC and verify AP64501 headroom</x:v>
      </x:c>
    </x:row>
    <x:row r="17">
      <x:c r="A17" s="64" t="str">
        <x:v>PROVISIONAL</x:v>
      </x:c>
      <x:c r="B17" s="64" t="str">
        <x:v>D4</x:v>
      </x:c>
      <x:c r="C17" s="64" t="str">
        <x:v>1</x:v>
      </x:c>
      <x:c r="D17" s="64" t="str">
        <x:v>Protected fan-bus TVS</x:v>
      </x:c>
      <x:c r="E17" s="64" t="str">
        <x:v>13 V standoff starting point</x:v>
      </x:c>
      <x:c r="F17" s="64" t="str">
        <x:v>Multiple</x:v>
      </x:c>
      <x:c r="G17" s="64" t="str">
        <x:v>SMBJ13A</x:v>
      </x:c>
      <x:c r="H17" s="64" t="str">
        <x:v>Diode_SMD:D_SMB</x:v>
      </x:c>
      <x:c r="I17" s="64" t="str">
        <x:v>TBD</x:v>
      </x:c>
      <x:c r="J17" s="64" t="str">
        <x:v>SMT</x:v>
      </x:c>
      <x:c r="K17" s="64" t="str">
        <x:v>SELECT_BEFORE_RELEASE</x:v>
      </x:c>
      <x:c r="L17" s="64" t="str">
        <x:v>Coordinate standoff and clamp energy with the exact 12 V fans and upstream fuse; J1 is not a 15 V fan input</x:v>
      </x:c>
    </x:row>
    <x:row r="18">
      <x:c r="A18" s="64" t="str">
        <x:v>PROVISIONAL</x:v>
      </x:c>
      <x:c r="B18" s="64" t="str">
        <x:v>D5</x:v>
      </x:c>
      <x:c r="C18" s="64" t="str">
        <x:v>1</x:v>
      </x:c>
      <x:c r="D18" s="64" t="str">
        <x:v>Logic-input bidirectional TVS</x:v>
      </x:c>
      <x:c r="E18" s="64" t="str">
        <x:v>18 V standoff starting point</x:v>
      </x:c>
      <x:c r="F18" s="64" t="str">
        <x:v>Multiple</x:v>
      </x:c>
      <x:c r="G18" s="64" t="str">
        <x:v>SMBJ18CA</x:v>
      </x:c>
      <x:c r="H18" s="64" t="str">
        <x:v>Diode_SMD:D_SMB</x:v>
      </x:c>
      <x:c r="I18" s="64" t="str">
        <x:v>TBD</x:v>
      </x:c>
      <x:c r="J18" s="64" t="str">
        <x:v>SMT</x:v>
      </x:c>
      <x:c r="K18" s="64" t="str">
        <x:v>SELECT_BEFORE_RELEASE</x:v>
      </x:c>
      <x:c r="L18" s="64" t="str">
        <x:v>Bidirectional part at J6; verify pulse energy and clamping before release</x:v>
      </x:c>
    </x:row>
    <x:row r="19">
      <x:c r="A19" s="64" t="str">
        <x:v>PROVISIONAL</x:v>
      </x:c>
      <x:c r="B19" s="64" t="str">
        <x:v>J30</x:v>
      </x:c>
      <x:c r="C19" s="64" t="str">
        <x:v>1</x:v>
      </x:c>
      <x:c r="D19" s="64" t="str">
        <x:v>USB-C USB2 receptacle</x:v>
      </x:c>
      <x:c r="E19" s="64" t="str">
        <x:v>USB4105-GF-A</x:v>
      </x:c>
      <x:c r="F19" s="64" t="str">
        <x:v>Global Connector Technology</x:v>
      </x:c>
      <x:c r="G19" s="64" t="str">
        <x:v>USB4105-GF-A</x:v>
      </x:c>
      <x:c r="H19" s="64" t="str">
        <x:v>ChainAxe:USB4105-GF-A</x:v>
      </x:c>
      <x:c r="I19" s="64" t="str">
        <x:v>C2988369</x:v>
      </x:c>
      <x:c r="J19" s="64" t="str">
        <x:v>SMT extended</x:v>
      </x:c>
      <x:c r="K19" s="64" t="str">
        <x:v>STOP_ORDER</x:v>
      </x:c>
      <x:c r="L19" s="64" t="str">
        <x:v>STOP-ORDER until first-article fit check: project-local footprint vendors the official KiCad 8.0.9/GCT geometry with all contacts, THT shell stakes, and NPTH locating pegs</x:v>
      </x:c>
    </x:row>
    <x:row r="20">
      <x:c r="A20" s="64" t="str">
        <x:v>PROVISIONAL</x:v>
      </x:c>
      <x:c r="B20" s="64" t="str">
        <x:v>J10</x:v>
      </x:c>
      <x:c r="C20" s="64" t="str">
        <x:v>1</x:v>
      </x:c>
      <x:c r="D20" s="64" t="str">
        <x:v>Bitmain hashboard data connector</x:v>
      </x:c>
      <x:c r="E20" s="64" t="str">
        <x:v>2x9 2.00 mm right-angle</x:v>
      </x:c>
      <x:c r="F20" s="64" t="str">
        <x:v>HCTL</x:v>
      </x:c>
      <x:c r="G20" s="64" t="str">
        <x:v>PM200-2-09-W-4.3</x:v>
      </x:c>
      <x:c r="H20" s="64" t="str">
        <x:v>ChainAxe:PM200-2-09-W-4.3_THT</x:v>
      </x:c>
      <x:c r="I20" s="64" t="str">
        <x:v>C3012192</x:v>
      </x:c>
      <x:c r="J20" s="64" t="str">
        <x:v>THT/manual</x:v>
      </x:c>
      <x:c r="K20" s="64" t="str">
        <x:v>HAND_INSTALL</x:v>
      </x:c>
      <x:c r="L20" s="64" t="str">
        <x:v>18 physical positions; pins 1-16 used and 17-18 NC; project-local drawing-derived footprint still needs mating-face orientation and real-cable fit checks</x:v>
      </x:c>
    </x:row>
    <x:row r="21">
      <x:c r="A21" s="64" t="str">
        <x:v>EXACT_CANDIDATE</x:v>
      </x:c>
      <x:c r="B21" s="64" t="str">
        <x:v>J1</x:v>
      </x:c>
      <x:c r="C21" s="64" t="str">
        <x:v>1</x:v>
      </x:c>
      <x:c r="D21" s="64" t="str">
        <x:v>High-current fan supply input</x:v>
      </x:c>
      <x:c r="E21" s="64" t="str">
        <x:v>2x3 keyed THT</x:v>
      </x:c>
      <x:c r="F21" s="64" t="str">
        <x:v>Molex</x:v>
      </x:c>
      <x:c r="G21" s="64" t="str">
        <x:v>0455580003</x:v>
      </x:c>
      <x:c r="H21" s="64" t="str">
        <x:v>ChainAxe:0455580003_THT</x:v>
      </x:c>
      <x:c r="I21" s="64" t="str">
        <x:v>C492365</x:v>
      </x:c>
      <x:c r="J21" s="64" t="str">
        <x:v>THT/manual</x:v>
      </x:c>
      <x:c r="K21" s="64" t="str">
        <x:v>HAND_INSTALL</x:v>
      </x:c>
      <x:c r="L21" s="64" t="str">
        <x:v>Regulated 12 V only; project-local footprint follows Molex SD-45558-001 contact and peg geometry; verify circuit-1 orientation and fit a real connector</x:v>
      </x:c>
    </x:row>
    <x:row r="22">
      <x:c r="A22" s="64" t="str">
        <x:v>TBD</x:v>
      </x:c>
      <x:c r="B22" s="64" t="str">
        <x:v>J6</x:v>
      </x:c>
      <x:c r="C22" s="64" t="str">
        <x:v>1</x:v>
      </x:c>
      <x:c r="D22" s="64" t="str">
        <x:v>Low-current controller supply input</x:v>
      </x:c>
      <x:c r="E22" s="64" t="str">
        <x:v>2-pin keyed 18-24 AWG</x:v>
      </x:c>
      <x:c r="F22" s="64" t="str">
        <x:v>TBD</x:v>
      </x:c>
      <x:c r="G22" s="64" t="str">
        <x:v>TBD</x:v>
      </x:c>
      <x:c r="H22" s="64" t="str">
        <x:v>Connector_Molex:Molex_Micro-Fit_3.0_43650-0200_1x02_P3.00mm_Horizontal</x:v>
      </x:c>
      <x:c r="I22" s="64" t="str">
        <x:v>TBD</x:v>
      </x:c>
      <x:c r="J22" s="64" t="str">
        <x:v>THT/manual</x:v>
      </x:c>
      <x:c r="K22" s="64" t="str">
        <x:v>STOP_ORDER</x:v>
      </x:c>
      <x:c r="L22" s="64" t="str">
        <x:v>STOP-ORDER: accepts 12-15 V for logic only; current Micro-Fit footprint is a placeholder until an exact keyed connector and mate are selected</x:v>
      </x:c>
    </x:row>
    <x:row r="23">
      <x:c r="A23" s="64" t="str">
        <x:v>EXACT_CANDIDATE</x:v>
      </x:c>
      <x:c r="B23" s="64" t="str">
        <x:v>J2,J3,J4,J5</x:v>
      </x:c>
      <x:c r="C23" s="64" t="str">
        <x:v>4</x:v>
      </x:c>
      <x:c r="D23" s="64" t="str">
        <x:v>AntHat-style four-wire fan connectors</x:v>
      </x:c>
      <x:c r="E23" s="64" t="str">
        <x:v>Keyed 2x2 nominal 4.2 mm pitch</x:v>
      </x:c>
      <x:c r="F23" s="64" t="str">
        <x:v>Molex</x:v>
      </x:c>
      <x:c r="G23" s="64" t="str">
        <x:v>0353180420</x:v>
      </x:c>
      <x:c r="H23" s="64" t="str">
        <x:v>ChainAxe:0353180420_THT</x:v>
      </x:c>
      <x:c r="I23" s="64" t="str">
        <x:v>C54909</x:v>
      </x:c>
      <x:c r="J23" s="64" t="str">
        <x:v>THT/manual</x:v>
      </x:c>
      <x:c r="K23" s="64" t="str">
        <x:v>HAND_INSTALL</x:v>
      </x:c>
      <x:c r="L23" s="64" t="str">
        <x:v>Silk G/12/T/P; project-local footprint follows Molex SD-35318 4.2 x 5.5 mm pattern; verify key, circuit view, and real fan harness</x:v>
      </x:c>
    </x:row>
    <x:row r="24">
      <x:c r="A24" s="64" t="str">
        <x:v>TBD</x:v>
      </x:c>
      <x:c r="B24" s="64" t="str">
        <x:v>JP1</x:v>
      </x:c>
      <x:c r="C24" s="64" t="str">
        <x:v>1</x:v>
      </x:c>
      <x:c r="D24" s="64" t="str">
        <x:v>Optional fan-to-logic feed</x:v>
      </x:c>
      <x:c r="E24" s="64" t="str">
        <x:v>Open solder jumper</x:v>
      </x:c>
      <x:c r="F24" s="64" t="str">
        <x:v>N/A</x:v>
      </x:c>
      <x:c r="G24" s="64" t="str">
        <x:v>N/A</x:v>
      </x:c>
      <x:c r="H24" s="64" t="str">
        <x:v>Jumper:SolderJumper-2_P1.3mm_Open_Pad1.0x1.5mm</x:v>
      </x:c>
      <x:c r="I24" s="64" t="str">
        <x:v>N/A</x:v>
      </x:c>
      <x:c r="J24" s="64" t="str">
        <x:v>Manual</x:v>
      </x:c>
      <x:c r="K24" s="64" t="str">
        <x:v>DNP</x:v>
      </x:c>
      <x:c r="L24" s="64" t="str">
        <x:v>Fit only when J1 is verified regulated 12 V; feeds FAN_12V through D2 and never bypasses the diode</x:v>
      </x:c>
    </x:row>
    <x:row r="25">
      <x:c r="A25" s="64" t="str">
        <x:v>TBD</x:v>
      </x:c>
      <x:c r="B25" s="64" t="str">
        <x:v>SW1,SW2</x:v>
      </x:c>
      <x:c r="C25" s="64" t="str">
        <x:v>2</x:v>
      </x:c>
      <x:c r="D25" s="64" t="str">
        <x:v>BOOT and RESET buttons</x:v>
      </x:c>
      <x:c r="E25" s="64" t="str">
        <x:v>Momentary NO</x:v>
      </x:c>
      <x:c r="F25" s="64" t="str">
        <x:v>TBD</x:v>
      </x:c>
      <x:c r="G25" s="64" t="str">
        <x:v>TBD</x:v>
      </x:c>
      <x:c r="H25" s="64" t="str">
        <x:v>Button_Switch_SMD:SW_SPST_CK_RS282G05A3</x:v>
      </x:c>
      <x:c r="I25" s="64" t="str">
        <x:v>TBD</x:v>
      </x:c>
      <x:c r="J25" s="64" t="str">
        <x:v>SMT</x:v>
      </x:c>
      <x:c r="K25" s="64" t="str">
        <x:v>STOP_ORDER</x:v>
      </x:c>
      <x:c r="L25" s="64" t="str">
        <x:v>STOP-ORDER: schematic uses the CK RS282G05A3 footprint; prior CS1213AGF260/C5578986 pairing is not footprint-verified and is removed from the JLC template</x:v>
      </x:c>
    </x:row>
    <x:row r="26">
      <x:c r="A26" s="64" t="str">
        <x:v>EXACT_CANDIDATE</x:v>
      </x:c>
      <x:c r="B26" s="64" t="str">
        <x:v>R60</x:v>
      </x:c>
      <x:c r="C26" s="64" t="str">
        <x:v>1</x:v>
      </x:c>
      <x:c r="D26" s="64" t="str">
        <x:v>Fan-input reverse-protection gate resistor</x:v>
      </x:c>
      <x:c r="E26" s="64" t="str">
        <x:v>12k 1%</x:v>
      </x:c>
      <x:c r="F26" s="64" t="str">
        <x:v>UNI-ROYAL</x:v>
      </x:c>
      <x:c r="G26" s="64" t="str">
        <x:v>0402WGF1202TCE</x:v>
      </x:c>
      <x:c r="H26" s="64" t="str">
        <x:v>Resistor_SMD:R_0402_1005Metric</x:v>
      </x:c>
      <x:c r="I26" s="64" t="str">
        <x:v>C25752</x:v>
      </x:c>
      <x:c r="J26" s="64" t="str">
        <x:v>SMT basic</x:v>
      </x:c>
      <x:c r="K26" s="64" t="str">
        <x:v>SELECT_BEFORE_RELEASE</x:v>
      </x:c>
      <x:c r="L26" s="64" t="str">
        <x:v>Q5/Q6 gate pull; validate with ZD1 and final FET topology</x:v>
      </x:c>
    </x:row>
    <x:row r="27">
      <x:c r="A27" s="64" t="str">
        <x:v>EXACT_CANDIDATE</x:v>
      </x:c>
      <x:c r="B27" s="64" t="str">
        <x:v>R50,R80,R83,R84,R105,R106,R107,R108,R109,R200,R203,R206,R209</x:v>
      </x:c>
      <x:c r="C27" s="64" t="str">
        <x:v>13</x:v>
      </x:c>
      <x:c r="D27" s="64" t="str">
        <x:v>Hardware safe-state pulls</x:v>
      </x:c>
      <x:c r="E27" s="64" t="str">
        <x:v>100k 1%</x:v>
      </x:c>
      <x:c r="F27" s="64" t="str">
        <x:v>UNI-ROYAL</x:v>
      </x:c>
      <x:c r="G27" s="64" t="str">
        <x:v>0402WGF1003TCE</x:v>
      </x:c>
      <x:c r="H27" s="64" t="str">
        <x:v>Resistor_SMD:R_0402_1005Metric</x:v>
      </x:c>
      <x:c r="I27" s="64" t="str">
        <x:v>C25741</x:v>
      </x:c>
      <x:c r="J27" s="64" t="str">
        <x:v>SMT basic</x:v>
      </x:c>
      <x:c r="K27" s="64" t="str">
        <x:v>POPULATE</x:v>
      </x:c>
      <x:c r="L27" s="64" t="str">
        <x:v>U5 off; U6 off; PLUG defined; U7 off; fan arm off; R106-R109 define U8 inputs low until EMC2305 push-pull configuration; four fan gates off</x:v>
      </x:c>
    </x:row>
    <x:row r="28">
      <x:c r="A28" s="64" t="str">
        <x:v>PROVISIONAL</x:v>
      </x:c>
      <x:c r="B28" s="64" t="str">
        <x:v>R70</x:v>
      </x:c>
      <x:c r="C28" s="64" t="str">
        <x:v>1</x:v>
      </x:c>
      <x:c r="D28" s="64" t="str">
        <x:v>Rail-monitor divider top</x:v>
      </x:c>
      <x:c r="E28" s="64" t="str">
        <x:v>100k 1%</x:v>
      </x:c>
      <x:c r="F28" s="64" t="str">
        <x:v>UNI-ROYAL</x:v>
      </x:c>
      <x:c r="G28" s="64" t="str">
        <x:v>0402WGF1003TCE</x:v>
      </x:c>
      <x:c r="H28" s="64" t="str">
        <x:v>Resistor_SMD:R_0402_1005Metric</x:v>
      </x:c>
      <x:c r="I28" s="64" t="str">
        <x:v>C25741</x:v>
      </x:c>
      <x:c r="J28" s="64" t="str">
        <x:v>SMT basic</x:v>
      </x:c>
      <x:c r="K28" s="64" t="str">
        <x:v>POPULATE</x:v>
      </x:c>
      <x:c r="L28" s="64" t="str">
        <x:v>With R71 and C70; validate ADC full-scale against the selected monitored rail</x:v>
      </x:c>
    </x:row>
    <x:row r="29">
      <x:c r="A29" s="64" t="str">
        <x:v>PROVISIONAL</x:v>
      </x:c>
      <x:c r="B29" s="64" t="str">
        <x:v>R91,R92</x:v>
      </x:c>
      <x:c r="C29" s="64" t="str">
        <x:v>2</x:v>
      </x:c>
      <x:c r="D29" s="64" t="str">
        <x:v>Optional hashboard reset bias pads</x:v>
      </x:c>
      <x:c r="E29" s="64" t="str">
        <x:v>100k starting value</x:v>
      </x:c>
      <x:c r="F29" s="64" t="str">
        <x:v>UNI-ROYAL</x:v>
      </x:c>
      <x:c r="G29" s="64" t="str">
        <x:v>0402WGF1003TCE</x:v>
      </x:c>
      <x:c r="H29" s="64" t="str">
        <x:v>Resistor_SMD:R_0402_1005Metric</x:v>
      </x:c>
      <x:c r="I29" s="64" t="str">
        <x:v>C25741</x:v>
      </x:c>
      <x:c r="J29" s="64" t="str">
        <x:v>SMT basic</x:v>
      </x:c>
      <x:c r="K29" s="64" t="str">
        <x:v>DNP</x:v>
      </x:c>
      <x:c r="L29" s="64" t="str">
        <x:v>Mutually exclusive reset bias-up/down options; default S21-safe assembly leaves both open</x:v>
      </x:c>
    </x:row>
    <x:row r="30">
      <x:c r="A30" s="64" t="str">
        <x:v>EXACT_CANDIDATE</x:v>
      </x:c>
      <x:c r="B30" s="64" t="str">
        <x:v>R89,R110,R111</x:v>
      </x:c>
      <x:c r="C30" s="64" t="str">
        <x:v>3</x:v>
      </x:c>
      <x:c r="D30" s="64" t="str">
        <x:v>Reset-OE and MCU EN/BOOT pullups</x:v>
      </x:c>
      <x:c r="E30" s="64" t="str">
        <x:v>10k 1%</x:v>
      </x:c>
      <x:c r="F30" s="64" t="str">
        <x:v>UNI-ROYAL</x:v>
      </x:c>
      <x:c r="G30" s="64" t="str">
        <x:v>0402WGF1002TCE</x:v>
      </x:c>
      <x:c r="H30" s="64" t="str">
        <x:v>Resistor_SMD:R_0402_1005Metric</x:v>
      </x:c>
      <x:c r="I30" s="64" t="str">
        <x:v>C25744</x:v>
      </x:c>
      <x:c r="J30" s="64" t="str">
        <x:v>SMT basic</x:v>
      </x:c>
      <x:c r="K30" s="64" t="str">
        <x:v>POPULATE</x:v>
      </x:c>
      <x:c r="L30" s="64" t="str">
        <x:v>R89 disables U12; R110 is ESP EN pullup; R111 is BOOT pullup</x:v>
      </x:c>
    </x:row>
    <x:row r="31">
      <x:c r="A31" s="64" t="str">
        <x:v>PROVISIONAL</x:v>
      </x:c>
      <x:c r="B31" s="64" t="str">
        <x:v>R51</x:v>
      </x:c>
      <x:c r="C31" s="64" t="str">
        <x:v>1</x:v>
      </x:c>
      <x:c r="D31" s="64" t="str">
        <x:v>Hashboard 3.3 V quick-output-discharge link</x:v>
      </x:c>
      <x:c r="E31" s="64" t="str">
        <x:v>100 ohm 1%</x:v>
      </x:c>
      <x:c r="F31" s="64" t="str">
        <x:v>Multiple</x:v>
      </x:c>
      <x:c r="G31" s="64" t="str">
        <x:v>TBD</x:v>
      </x:c>
      <x:c r="H31" s="64" t="str">
        <x:v>Resistor_SMD:R_0402_1005Metric</x:v>
      </x:c>
      <x:c r="I31" s="64" t="str">
        <x:v>TBD</x:v>
      </x:c>
      <x:c r="J31" s="64" t="str">
        <x:v>SMT</x:v>
      </x:c>
      <x:c r="K31" s="64" t="str">
        <x:v>POPULATE</x:v>
      </x:c>
      <x:c r="L31" s="64" t="str">
        <x:v>VOUT to TPS22917 QOD; J10 pin 16 must never be externally driven</x:v>
      </x:c>
    </x:row>
    <x:row r="32">
      <x:c r="A32" s="64" t="str">
        <x:v>PROVISIONAL</x:v>
      </x:c>
      <x:c r="B32" s="64" t="str">
        <x:v>R71</x:v>
      </x:c>
      <x:c r="C32" s="64" t="str">
        <x:v>1</x:v>
      </x:c>
      <x:c r="D32" s="64" t="str">
        <x:v>Rail-monitor divider bottom</x:v>
      </x:c>
      <x:c r="E32" s="64" t="str">
        <x:v>27k 1%</x:v>
      </x:c>
      <x:c r="F32" s="64" t="str">
        <x:v>Multiple</x:v>
      </x:c>
      <x:c r="G32" s="64" t="str">
        <x:v>TBD</x:v>
      </x:c>
      <x:c r="H32" s="64" t="str">
        <x:v>Resistor_SMD:R_0402_1005Metric</x:v>
      </x:c>
      <x:c r="I32" s="64" t="str">
        <x:v>TBD</x:v>
      </x:c>
      <x:c r="J32" s="64" t="str">
        <x:v>SMT</x:v>
      </x:c>
      <x:c r="K32" s="64" t="str">
        <x:v>POPULATE</x:v>
      </x:c>
      <x:c r="L32" s="64" t="str">
        <x:v>With R70 and C70; validate ADC scaling and source impedance</x:v>
      </x:c>
    </x:row>
    <x:row r="33">
      <x:c r="A33" s="64" t="str">
        <x:v>EXACT_CANDIDATE</x:v>
      </x:c>
      <x:c r="B33" s="64" t="str">
        <x:v>R112,R113</x:v>
      </x:c>
      <x:c r="C33" s="64" t="str">
        <x:v>2</x:v>
      </x:c>
      <x:c r="D33" s="64" t="str">
        <x:v>USB-C CC pulldowns</x:v>
      </x:c>
      <x:c r="E33" s="64" t="str">
        <x:v>5.1k 1%</x:v>
      </x:c>
      <x:c r="F33" s="64" t="str">
        <x:v>UNI-ROYAL</x:v>
      </x:c>
      <x:c r="G33" s="64" t="str">
        <x:v>0402WGF5101TCE</x:v>
      </x:c>
      <x:c r="H33" s="64" t="str">
        <x:v>Resistor_SMD:R_0402_1005Metric</x:v>
      </x:c>
      <x:c r="I33" s="64" t="str">
        <x:v>C25905</x:v>
      </x:c>
      <x:c r="J33" s="64" t="str">
        <x:v>SMT basic</x:v>
      </x:c>
      <x:c r="K33" s="64" t="str">
        <x:v>POPULATE</x:v>
      </x:c>
      <x:c r="L33" s="64" t="str">
        <x:v>One resistor per CC pin</x:v>
      </x:c>
    </x:row>
    <x:row r="34">
      <x:c r="A34" s="64" t="str">
        <x:v>PROVISIONAL</x:v>
      </x:c>
      <x:c r="B34" s="64" t="str">
        <x:v>R114,R115</x:v>
      </x:c>
      <x:c r="C34" s="64" t="str">
        <x:v>2</x:v>
      </x:c>
      <x:c r="D34" s="64" t="str">
        <x:v>USB source damping</x:v>
      </x:c>
      <x:c r="E34" s="64" t="str">
        <x:v>22 ohm 1%</x:v>
      </x:c>
      <x:c r="F34" s="64" t="str">
        <x:v>Multiple</x:v>
      </x:c>
      <x:c r="G34" s="64" t="str">
        <x:v>TBD</x:v>
      </x:c>
      <x:c r="H34" s="64" t="str">
        <x:v>Resistor_SMD:R_0402_1005Metric</x:v>
      </x:c>
      <x:c r="I34" s="64" t="str">
        <x:v>TBD</x:v>
      </x:c>
      <x:c r="J34" s="64" t="str">
        <x:v>SMT</x:v>
      </x:c>
      <x:c r="K34" s="64" t="str">
        <x:v>POPULATE</x:v>
      </x:c>
      <x:c r="L34" s="64" t="str">
        <x:v>R114 is USB D+ and R115 is USB D-; place at U1 and tune only if needed</x:v>
      </x:c>
    </x:row>
    <x:row r="35">
      <x:c r="A35" s="64" t="str">
        <x:v>PROVISIONAL</x:v>
      </x:c>
      <x:c r="B35" s="64" t="str">
        <x:v>R116</x:v>
      </x:c>
      <x:c r="C35" s="64" t="str">
        <x:v>1</x:v>
      </x:c>
      <x:c r="D35" s="64" t="str">
        <x:v>USB shield bleed</x:v>
      </x:c>
      <x:c r="E35" s="64" t="str">
        <x:v>1M 1%</x:v>
      </x:c>
      <x:c r="F35" s="64" t="str">
        <x:v>Multiple</x:v>
      </x:c>
      <x:c r="G35" s="64" t="str">
        <x:v>TBD</x:v>
      </x:c>
      <x:c r="H35" s="64" t="str">
        <x:v>Resistor_SMD:R_0402_1005Metric</x:v>
      </x:c>
      <x:c r="I35" s="64" t="str">
        <x:v>TBD</x:v>
      </x:c>
      <x:c r="J35" s="64" t="str">
        <x:v>SMT</x:v>
      </x:c>
      <x:c r="K35" s="64" t="str">
        <x:v>POPULATE</x:v>
      </x:c>
      <x:c r="L35" s="64" t="str">
        <x:v>Parallel with C111 between shield and logic ground; validate chassis strategy</x:v>
      </x:c>
    </x:row>
    <x:row r="36">
      <x:c r="A36" s="64" t="str">
        <x:v>EXACT_CANDIDATE</x:v>
      </x:c>
      <x:c r="B36" s="64" t="str">
        <x:v>R81,R82</x:v>
      </x:c>
      <x:c r="C36" s="64" t="str">
        <x:v>2</x:v>
      </x:c>
      <x:c r="D36" s="64" t="str">
        <x:v>Hashboard UART damping</x:v>
      </x:c>
      <x:c r="E36" s="64" t="str">
        <x:v>33 ohm 1%</x:v>
      </x:c>
      <x:c r="F36" s="64" t="str">
        <x:v>UNI-ROYAL</x:v>
      </x:c>
      <x:c r="G36" s="64" t="str">
        <x:v>0402WGF330JTCE</x:v>
      </x:c>
      <x:c r="H36" s="64" t="str">
        <x:v>Resistor_SMD:R_0402_1005Metric</x:v>
      </x:c>
      <x:c r="I36" s="64" t="str">
        <x:v>C25105</x:v>
      </x:c>
      <x:c r="J36" s="64" t="str">
        <x:v>SMT basic</x:v>
      </x:c>
      <x:c r="K36" s="64" t="str">
        <x:v>POPULATE</x:v>
      </x:c>
      <x:c r="L36" s="64" t="str">
        <x:v>R81 TX and R82 RX; R82 remains a scope-tunable provisional value</x:v>
      </x:c>
    </x:row>
    <x:row r="37">
      <x:c r="A37" s="64" t="str">
        <x:v>EXACT_CANDIDATE</x:v>
      </x:c>
      <x:c r="B37" s="64" t="str">
        <x:v>R90</x:v>
      </x:c>
      <x:c r="C37" s="64" t="str">
        <x:v>1</x:v>
      </x:c>
      <x:c r="D37" s="64" t="str">
        <x:v>Profile-gated hashboard RESET series link</x:v>
      </x:c>
      <x:c r="E37" s="64" t="str">
        <x:v>33 ohm 1%</x:v>
      </x:c>
      <x:c r="F37" s="64" t="str">
        <x:v>UNI-ROYAL</x:v>
      </x:c>
      <x:c r="G37" s="64" t="str">
        <x:v>0402WGF330JTCE</x:v>
      </x:c>
      <x:c r="H37" s="64" t="str">
        <x:v>Resistor_SMD:R_0402_1005Metric</x:v>
      </x:c>
      <x:c r="I37" s="64" t="str">
        <x:v>C25105</x:v>
      </x:c>
      <x:c r="J37" s="64" t="str">
        <x:v>SMT basic</x:v>
      </x:c>
      <x:c r="K37" s="64" t="str">
        <x:v>DNP</x:v>
      </x:c>
      <x:c r="L37" s="64" t="str">
        <x:v>Default S21-safe assembly leaves link open; populate only for an exact validated legacy-reset profile</x:v>
      </x:c>
    </x:row>
    <x:row r="38">
      <x:c r="A38" s="64" t="str">
        <x:v>EXACT_CANDIDATE</x:v>
      </x:c>
      <x:c r="B38" s="64" t="str">
        <x:v>R100,R101,R102</x:v>
      </x:c>
      <x:c r="C38" s="64" t="str">
        <x:v>3</x:v>
      </x:c>
      <x:c r="D38" s="64" t="str">
        <x:v>Fan SMBus and alert pullups</x:v>
      </x:c>
      <x:c r="E38" s="64" t="str">
        <x:v>4.7k 1%</x:v>
      </x:c>
      <x:c r="F38" s="64" t="str">
        <x:v>UNI-ROYAL</x:v>
      </x:c>
      <x:c r="G38" s="64" t="str">
        <x:v>0402WGF4701TCE</x:v>
      </x:c>
      <x:c r="H38" s="64" t="str">
        <x:v>Resistor_SMD:R_0402_1005Metric</x:v>
      </x:c>
      <x:c r="I38" s="64" t="str">
        <x:v>C25900</x:v>
      </x:c>
      <x:c r="J38" s="64" t="str">
        <x:v>SMT basic</x:v>
      </x:c>
      <x:c r="K38" s="64" t="str">
        <x:v>POPULATE</x:v>
      </x:c>
      <x:c r="L38" s="64" t="str">
        <x:v>FAN_SDA/FAN_SCL/FAN_ALERT_N pullups to 3V3</x:v>
      </x:c>
    </x:row>
    <x:row r="39">
      <x:c r="A39" s="64" t="str">
        <x:v>PROVISIONAL</x:v>
      </x:c>
      <x:c r="B39" s="64" t="str">
        <x:v>R85,R86,R87,R88</x:v>
      </x:c>
      <x:c r="C39" s="64" t="str">
        <x:v>4</x:v>
      </x:c>
      <x:c r="D39" s="64" t="str">
        <x:v>Split-domain hashboard I2C pullups</x:v>
      </x:c>
      <x:c r="E39" s="64" t="str">
        <x:v>4.7k 1%</x:v>
      </x:c>
      <x:c r="F39" s="64" t="str">
        <x:v>UNI-ROYAL</x:v>
      </x:c>
      <x:c r="G39" s="64" t="str">
        <x:v>0402WGF4701TCE</x:v>
      </x:c>
      <x:c r="H39" s="64" t="str">
        <x:v>Resistor_SMD:R_0402_1005Metric</x:v>
      </x:c>
      <x:c r="I39" s="64" t="str">
        <x:v>C25900</x:v>
      </x:c>
      <x:c r="J39" s="64" t="str">
        <x:v>SMT basic</x:v>
      </x:c>
      <x:c r="K39" s="64" t="str">
        <x:v>POPULATE</x:v>
      </x:c>
      <x:c r="L39" s="64" t="str">
        <x:v>Two controller-side pulls to 3V3 and two cable-side pulls to switched HB_3V3</x:v>
      </x:c>
    </x:row>
    <x:row r="40">
      <x:c r="A40" s="64" t="str">
        <x:v>EXACT_CANDIDATE</x:v>
      </x:c>
      <x:c r="B40" s="64" t="str">
        <x:v>R93,R95,R97</x:v>
      </x:c>
      <x:c r="C40" s="64" t="str">
        <x:v>3</x:v>
      </x:c>
      <x:c r="D40" s="64" t="str">
        <x:v>Hashboard address default-low straps</x:v>
      </x:c>
      <x:c r="E40" s="64" t="str">
        <x:v>4.7k 1%</x:v>
      </x:c>
      <x:c r="F40" s="64" t="str">
        <x:v>UNI-ROYAL</x:v>
      </x:c>
      <x:c r="G40" s="64" t="str">
        <x:v>0402WGF4701TCE</x:v>
      </x:c>
      <x:c r="H40" s="64" t="str">
        <x:v>Resistor_SMD:R_0402_1005Metric</x:v>
      </x:c>
      <x:c r="I40" s="64" t="str">
        <x:v>C25900</x:v>
      </x:c>
      <x:c r="J40" s="64" t="str">
        <x:v>SMT basic</x:v>
      </x:c>
      <x:c r="K40" s="64" t="str">
        <x:v>POPULATE</x:v>
      </x:c>
      <x:c r="L40" s="64" t="str">
        <x:v>Default-low side of three mutually exclusive strap pairs</x:v>
      </x:c>
    </x:row>
    <x:row r="41">
      <x:c r="A41" s="64" t="str">
        <x:v>PROVISIONAL</x:v>
      </x:c>
      <x:c r="B41" s="64" t="str">
        <x:v>R94,R96,R98</x:v>
      </x:c>
      <x:c r="C41" s="64" t="str">
        <x:v>3</x:v>
      </x:c>
      <x:c r="D41" s="64" t="str">
        <x:v>Hashboard address high straps</x:v>
      </x:c>
      <x:c r="E41" s="64" t="str">
        <x:v>0 ohm</x:v>
      </x:c>
      <x:c r="F41" s="64" t="str">
        <x:v>Multiple</x:v>
      </x:c>
      <x:c r="G41" s="64" t="str">
        <x:v>TBD</x:v>
      </x:c>
      <x:c r="H41" s="64" t="str">
        <x:v>Resistor_SMD:R_0402_1005Metric</x:v>
      </x:c>
      <x:c r="I41" s="64" t="str">
        <x:v>TBD</x:v>
      </x:c>
      <x:c r="J41" s="64" t="str">
        <x:v>SMT</x:v>
      </x:c>
      <x:c r="K41" s="64" t="str">
        <x:v>DNP</x:v>
      </x:c>
      <x:c r="L41" s="64" t="str">
        <x:v>Optional high side connects only to switched HB_3V3; populate instead of corresponding low strap after profile validation</x:v>
      </x:c>
    </x:row>
    <x:row r="42">
      <x:c r="A42" s="64" t="str">
        <x:v>PROVISIONAL</x:v>
      </x:c>
      <x:c r="B42" s="64" t="str">
        <x:v>R201,R204,R207,R210</x:v>
      </x:c>
      <x:c r="C42" s="64" t="str">
        <x:v>4</x:v>
      </x:c>
      <x:c r="D42" s="64" t="str">
        <x:v>Fan tach pullups</x:v>
      </x:c>
      <x:c r="E42" s="64" t="str">
        <x:v>36k 1%</x:v>
      </x:c>
      <x:c r="F42" s="64" t="str">
        <x:v>YAGEO</x:v>
      </x:c>
      <x:c r="G42" s="64" t="str">
        <x:v>RC0402FR-0736KL</x:v>
      </x:c>
      <x:c r="H42" s="64" t="str">
        <x:v>Resistor_SMD:R_0402_1005Metric</x:v>
      </x:c>
      <x:c r="I42" s="64" t="str">
        <x:v>C137999</x:v>
      </x:c>
      <x:c r="J42" s="64" t="str">
        <x:v>SMT extended</x:v>
      </x:c>
      <x:c r="K42" s="64" t="str">
        <x:v>POPULATE</x:v>
      </x:c>
      <x:c r="L42" s="64" t="str">
        <x:v>Starting value; validate rise time and RPM with the exact fans</x:v>
      </x:c>
    </x:row>
    <x:row r="43">
      <x:c r="A43" s="64" t="str">
        <x:v>EXACT_CANDIDATE</x:v>
      </x:c>
      <x:c r="B43" s="64" t="str">
        <x:v>R103</x:v>
      </x:c>
      <x:c r="C43" s="64" t="str">
        <x:v>1</x:v>
      </x:c>
      <x:c r="D43" s="64" t="str">
        <x:v>EMC2305 startup strap</x:v>
      </x:c>
      <x:c r="E43" s="64" t="str">
        <x:v>22k 1%</x:v>
      </x:c>
      <x:c r="F43" s="64" t="str">
        <x:v>UNI-ROYAL</x:v>
      </x:c>
      <x:c r="G43" s="64" t="str">
        <x:v>0402WGF2202TCE</x:v>
      </x:c>
      <x:c r="H43" s="64" t="str">
        <x:v>Resistor_SMD:R_0402_1005Metric</x:v>
      </x:c>
      <x:c r="I43" s="64" t="str">
        <x:v>C25768</x:v>
      </x:c>
      <x:c r="J43" s="64" t="str">
        <x:v>SMT basic</x:v>
      </x:c>
      <x:c r="K43" s="64" t="str">
        <x:v>POPULATE</x:v>
      </x:c>
      <x:c r="L43" s="64" t="str">
        <x:v>Datasheet decode selects 100% default drive</x:v>
      </x:c>
    </x:row>
    <x:row r="44">
      <x:c r="A44" s="64" t="str">
        <x:v>PROVISIONAL</x:v>
      </x:c>
      <x:c r="B44" s="64" t="str">
        <x:v>R104</x:v>
      </x:c>
      <x:c r="C44" s="64" t="str">
        <x:v>1</x:v>
      </x:c>
      <x:c r="D44" s="64" t="str">
        <x:v>EMC2305 address strap</x:v>
      </x:c>
      <x:c r="E44" s="64" t="str">
        <x:v>33k 1%</x:v>
      </x:c>
      <x:c r="F44" s="64" t="str">
        <x:v>UNI-ROYAL</x:v>
      </x:c>
      <x:c r="G44" s="64" t="str">
        <x:v>0402WGF3302TCE</x:v>
      </x:c>
      <x:c r="H44" s="64" t="str">
        <x:v>Resistor_SMD:R_0402_1005Metric</x:v>
      </x:c>
      <x:c r="I44" s="64" t="str">
        <x:v>C25779</x:v>
      </x:c>
      <x:c r="J44" s="64" t="str">
        <x:v>SMT basic</x:v>
      </x:c>
      <x:c r="K44" s="64" t="str">
        <x:v>POPULATE</x:v>
      </x:c>
      <x:c r="L44" s="64" t="str">
        <x:v>Confirm decoded SMBus address; firmware probes</x:v>
      </x:c>
    </x:row>
    <x:row r="45">
      <x:c r="A45" s="64" t="str">
        <x:v>PROVISIONAL</x:v>
      </x:c>
      <x:c r="B45" s="64" t="str">
        <x:v>RFB1</x:v>
      </x:c>
      <x:c r="C45" s="64" t="str">
        <x:v>1</x:v>
      </x:c>
      <x:c r="D45" s="64" t="str">
        <x:v>Buck feedback top</x:v>
      </x:c>
      <x:c r="E45" s="64" t="str">
        <x:v>69.8k 1%</x:v>
      </x:c>
      <x:c r="F45" s="64" t="str">
        <x:v>Multiple</x:v>
      </x:c>
      <x:c r="G45" s="64" t="str">
        <x:v>TBD</x:v>
      </x:c>
      <x:c r="H45" s="64" t="str">
        <x:v>Resistor_SMD:R_0402_1005Metric</x:v>
      </x:c>
      <x:c r="I45" s="64" t="str">
        <x:v>TBD</x:v>
      </x:c>
      <x:c r="J45" s="64" t="str">
        <x:v>SMT</x:v>
      </x:c>
      <x:c r="K45" s="64" t="str">
        <x:v>POPULATE</x:v>
      </x:c>
      <x:c r="L45" s="64" t="str">
        <x:v>AP64501 DS41980 Table 1 3.3 V starting value; verify tolerance and placement</x:v>
      </x:c>
    </x:row>
    <x:row r="46">
      <x:c r="A46" s="64" t="str">
        <x:v>PROVISIONAL</x:v>
      </x:c>
      <x:c r="B46" s="64" t="str">
        <x:v>RFB2</x:v>
      </x:c>
      <x:c r="C46" s="64" t="str">
        <x:v>1</x:v>
      </x:c>
      <x:c r="D46" s="64" t="str">
        <x:v>Buck feedback bottom</x:v>
      </x:c>
      <x:c r="E46" s="64" t="str">
        <x:v>22.1k 1%</x:v>
      </x:c>
      <x:c r="F46" s="64" t="str">
        <x:v>Multiple</x:v>
      </x:c>
      <x:c r="G46" s="64" t="str">
        <x:v>TBD</x:v>
      </x:c>
      <x:c r="H46" s="64" t="str">
        <x:v>Resistor_SMD:R_0402_1005Metric</x:v>
      </x:c>
      <x:c r="I46" s="64" t="str">
        <x:v>TBD</x:v>
      </x:c>
      <x:c r="J46" s="64" t="str">
        <x:v>SMT</x:v>
      </x:c>
      <x:c r="K46" s="64" t="str">
        <x:v>POPULATE</x:v>
      </x:c>
      <x:c r="L46" s="64" t="str">
        <x:v>AP64501 DS41980 Table 1 3.3 V starting value</x:v>
      </x:c>
    </x:row>
    <x:row r="47">
      <x:c r="A47" s="64" t="str">
        <x:v>PROVISIONAL</x:v>
      </x:c>
      <x:c r="B47" s="64" t="str">
        <x:v>R65</x:v>
      </x:c>
      <x:c r="C47" s="64" t="str">
        <x:v>1</x:v>
      </x:c>
      <x:c r="D47" s="64" t="str">
        <x:v>Buck compensation resistor</x:v>
      </x:c>
      <x:c r="E47" s="64" t="str">
        <x:v>10.5k 1%</x:v>
      </x:c>
      <x:c r="F47" s="64" t="str">
        <x:v>Multiple</x:v>
      </x:c>
      <x:c r="G47" s="64" t="str">
        <x:v>TBD</x:v>
      </x:c>
      <x:c r="H47" s="64" t="str">
        <x:v>Resistor_SMD:R_0402_1005Metric</x:v>
      </x:c>
      <x:c r="I47" s="64" t="str">
        <x:v>TBD</x:v>
      </x:c>
      <x:c r="J47" s="64" t="str">
        <x:v>SMT</x:v>
      </x:c>
      <x:c r="K47" s="64" t="str">
        <x:v>POPULATE</x:v>
      </x:c>
      <x:c r="L47" s="64" t="str">
        <x:v>AP64501 DS41980 Table 1 starting value; validate loop stability</x:v>
      </x:c>
    </x:row>
    <x:row r="48">
      <x:c r="A48" s="64" t="str">
        <x:v>PROVISIONAL</x:v>
      </x:c>
      <x:c r="B48" s="64" t="str">
        <x:v>C15</x:v>
      </x:c>
      <x:c r="C48" s="64" t="str">
        <x:v>1</x:v>
      </x:c>
      <x:c r="D48" s="64" t="str">
        <x:v>Buck bootstrap capacitor</x:v>
      </x:c>
      <x:c r="E48" s="64" t="str">
        <x:v>100nF 50 V X7R</x:v>
      </x:c>
      <x:c r="F48" s="64" t="str">
        <x:v>Samsung Electro-Mechanics</x:v>
      </x:c>
      <x:c r="G48" s="64" t="str">
        <x:v>CL05B104KB54PNC</x:v>
      </x:c>
      <x:c r="H48" s="64" t="str">
        <x:v>Capacitor_SMD:C_0402_1005Metric</x:v>
      </x:c>
      <x:c r="I48" s="64" t="str">
        <x:v>C307331</x:v>
      </x:c>
      <x:c r="J48" s="64" t="str">
        <x:v>SMT extended</x:v>
      </x:c>
      <x:c r="K48" s="64" t="str">
        <x:v>POPULATE</x:v>
      </x:c>
      <x:c r="L48" s="64" t="str">
        <x:v>Connect directly from AP64501 BST to SW; quote-time stock/substitution check required</x:v>
      </x:c>
    </x:row>
    <x:row r="49">
      <x:c r="A49" s="64" t="str">
        <x:v>PROVISIONAL</x:v>
      </x:c>
      <x:c r="B49" s="64" t="str">
        <x:v>C16</x:v>
      </x:c>
      <x:c r="C49" s="64" t="str">
        <x:v>1</x:v>
      </x:c>
      <x:c r="D49" s="64" t="str">
        <x:v>Buck soft-start capacitor</x:v>
      </x:c>
      <x:c r="E49" s="64" t="str">
        <x:v>10nF X7R</x:v>
      </x:c>
      <x:c r="F49" s="64" t="str">
        <x:v>Multiple</x:v>
      </x:c>
      <x:c r="G49" s="64" t="str">
        <x:v>TBD</x:v>
      </x:c>
      <x:c r="H49" s="64" t="str">
        <x:v>Capacitor_SMD:C_0402_1005Metric</x:v>
      </x:c>
      <x:c r="I49" s="64" t="str">
        <x:v>TBD</x:v>
      </x:c>
      <x:c r="J49" s="64" t="str">
        <x:v>SMT</x:v>
      </x:c>
      <x:c r="K49" s="64" t="str">
        <x:v>POPULATE</x:v>
      </x:c>
      <x:c r="L49" s="64" t="str">
        <x:v>DS41980 starting value gives approximately 4 ms soft start</x:v>
      </x:c>
    </x:row>
    <x:row r="50">
      <x:c r="A50" s="64" t="str">
        <x:v>PROVISIONAL</x:v>
      </x:c>
      <x:c r="B50" s="64" t="str">
        <x:v>C17</x:v>
      </x:c>
      <x:c r="C50" s="64" t="str">
        <x:v>1</x:v>
      </x:c>
      <x:c r="D50" s="64" t="str">
        <x:v>Buck compensation capacitor</x:v>
      </x:c>
      <x:c r="E50" s="64" t="str">
        <x:v>2.7nF X7R</x:v>
      </x:c>
      <x:c r="F50" s="64" t="str">
        <x:v>Multiple</x:v>
      </x:c>
      <x:c r="G50" s="64" t="str">
        <x:v>TBD</x:v>
      </x:c>
      <x:c r="H50" s="64" t="str">
        <x:v>Capacitor_SMD:C_0402_1005Metric</x:v>
      </x:c>
      <x:c r="I50" s="64" t="str">
        <x:v>TBD</x:v>
      </x:c>
      <x:c r="J50" s="64" t="str">
        <x:v>SMT</x:v>
      </x:c>
      <x:c r="K50" s="64" t="str">
        <x:v>POPULATE</x:v>
      </x:c>
      <x:c r="L50" s="64" t="str">
        <x:v>AP64501 DS41980 Table 1 starting value; validate loop stability</x:v>
      </x:c>
    </x:row>
    <x:row r="51">
      <x:c r="A51" s="64" t="str">
        <x:v>PROVISIONAL</x:v>
      </x:c>
      <x:c r="B51" s="64" t="str">
        <x:v>C18</x:v>
      </x:c>
      <x:c r="C51" s="64" t="str">
        <x:v>1</x:v>
      </x:c>
      <x:c r="D51" s="64" t="str">
        <x:v>Buck optional high-frequency compensation capacitor</x:v>
      </x:c>
      <x:c r="E51" s="64" t="str">
        <x:v>56pF C0G</x:v>
      </x:c>
      <x:c r="F51" s="64" t="str">
        <x:v>Multiple</x:v>
      </x:c>
      <x:c r="G51" s="64" t="str">
        <x:v>TBD</x:v>
      </x:c>
      <x:c r="H51" s="64" t="str">
        <x:v>Capacitor_SMD:C_0402_1005Metric</x:v>
      </x:c>
      <x:c r="I51" s="64" t="str">
        <x:v>TBD</x:v>
      </x:c>
      <x:c r="J51" s="64" t="str">
        <x:v>SMT</x:v>
      </x:c>
      <x:c r="K51" s="64" t="str">
        <x:v>DNP</x:v>
      </x:c>
      <x:c r="L51" s="64" t="str">
        <x:v>DS41980 Table 1 C6 option from COMP to GND; fit only after loop/load-transient validation</x:v>
      </x:c>
    </x:row>
    <x:row r="52">
      <x:c r="A52" s="64" t="str">
        <x:v>PROVISIONAL</x:v>
      </x:c>
      <x:c r="B52" s="64" t="str">
        <x:v>CIN1,CIN2,CIN3,CIN4</x:v>
      </x:c>
      <x:c r="C52" s="64" t="str">
        <x:v>4</x:v>
      </x:c>
      <x:c r="D52" s="64" t="str">
        <x:v>Buck input ceramic</x:v>
      </x:c>
      <x:c r="E52" s="64" t="str">
        <x:v>10uF 50 V X7R</x:v>
      </x:c>
      <x:c r="F52" s="64" t="str">
        <x:v>Multiple</x:v>
      </x:c>
      <x:c r="G52" s="64" t="str">
        <x:v>TBD</x:v>
      </x:c>
      <x:c r="H52" s="64" t="str">
        <x:v>Capacitor_SMD:C_1210_3225Metric</x:v>
      </x:c>
      <x:c r="I52" s="64" t="str">
        <x:v>TBD</x:v>
      </x:c>
      <x:c r="J52" s="64" t="str">
        <x:v>SMT extended</x:v>
      </x:c>
      <x:c r="K52" s="64" t="str">
        <x:v>SELECT_BEFORE_RELEASE</x:v>
      </x:c>
      <x:c r="L52" s="64" t="str">
        <x:v>Check effective capacitance at 15 V plus transient margin</x:v>
      </x:c>
    </x:row>
    <x:row r="53">
      <x:c r="A53" s="64" t="str">
        <x:v>PROVISIONAL</x:v>
      </x:c>
      <x:c r="B53" s="64" t="str">
        <x:v>COUT1,COUT2,COUT3</x:v>
      </x:c>
      <x:c r="C53" s="64" t="str">
        <x:v>3</x:v>
      </x:c>
      <x:c r="D53" s="64" t="str">
        <x:v>Buck output ceramic</x:v>
      </x:c>
      <x:c r="E53" s="64" t="str">
        <x:v>22uF 10 V X7R</x:v>
      </x:c>
      <x:c r="F53" s="64" t="str">
        <x:v>Multiple</x:v>
      </x:c>
      <x:c r="G53" s="64" t="str">
        <x:v>TBD</x:v>
      </x:c>
      <x:c r="H53" s="64" t="str">
        <x:v>Capacitor_SMD:C_0805_2012Metric</x:v>
      </x:c>
      <x:c r="I53" s="64" t="str">
        <x:v>TBD</x:v>
      </x:c>
      <x:c r="J53" s="64" t="str">
        <x:v>SMT extended</x:v>
      </x:c>
      <x:c r="K53" s="64" t="str">
        <x:v>SELECT_BEFORE_RELEASE</x:v>
      </x:c>
      <x:c r="L53" s="64" t="str">
        <x:v>DS41980 Table 1 starting bank; verify DC-bias capacitance and load transients</x:v>
      </x:c>
    </x:row>
    <x:row r="54">
      <x:c r="A54" s="64" t="str">
        <x:v>PROVISIONAL</x:v>
      </x:c>
      <x:c r="B54" s="64" t="str">
        <x:v>C50</x:v>
      </x:c>
      <x:c r="C54" s="64" t="str">
        <x:v>1</x:v>
      </x:c>
      <x:c r="D54" s="64" t="str">
        <x:v>Hashboard load-switch timing capacitor</x:v>
      </x:c>
      <x:c r="E54" s="64" t="str">
        <x:v>1nF X7R</x:v>
      </x:c>
      <x:c r="F54" s="64" t="str">
        <x:v>Multiple</x:v>
      </x:c>
      <x:c r="G54" s="64" t="str">
        <x:v>TBD</x:v>
      </x:c>
      <x:c r="H54" s="64" t="str">
        <x:v>Capacitor_SMD:C_0402_1005Metric</x:v>
      </x:c>
      <x:c r="I54" s="64" t="str">
        <x:v>TBD</x:v>
      </x:c>
      <x:c r="J54" s="64" t="str">
        <x:v>SMT</x:v>
      </x:c>
      <x:c r="K54" s="64" t="str">
        <x:v>POPULATE</x:v>
      </x:c>
      <x:c r="L54" s="64" t="str">
        <x:v>TPS22917 CT to VIN/3V3; approximately 3.8 ms turn-on; validate J10 pin-16 inrush</x:v>
      </x:c>
    </x:row>
    <x:row r="55">
      <x:c r="A55" s="64" t="str">
        <x:v>PROVISIONAL</x:v>
      </x:c>
      <x:c r="B55" s="64" t="str">
        <x:v>C51,C52</x:v>
      </x:c>
      <x:c r="C55" s="64" t="str">
        <x:v>2</x:v>
      </x:c>
      <x:c r="D55" s="64" t="str">
        <x:v>Hashboard load-switch local bypass</x:v>
      </x:c>
      <x:c r="E55" s="64" t="str">
        <x:v>1uF</x:v>
      </x:c>
      <x:c r="F55" s="64" t="str">
        <x:v>Multiple</x:v>
      </x:c>
      <x:c r="G55" s="64" t="str">
        <x:v>TBD</x:v>
      </x:c>
      <x:c r="H55" s="64" t="str">
        <x:v>Capacitor_SMD:C_0402_1005Metric</x:v>
      </x:c>
      <x:c r="I55" s="64" t="str">
        <x:v>TBD</x:v>
      </x:c>
      <x:c r="J55" s="64" t="str">
        <x:v>SMT</x:v>
      </x:c>
      <x:c r="K55" s="64" t="str">
        <x:v>POPULATE</x:v>
      </x:c>
      <x:c r="L55" s="64" t="str">
        <x:v>C51 at U5 VIN and C52 at switched HB_3V3; select voltage/dielectric and validate inrush</x:v>
      </x:c>
    </x:row>
    <x:row r="56">
      <x:c r="A56" s="64" t="str">
        <x:v>PROVISIONAL</x:v>
      </x:c>
      <x:c r="B56" s="64" t="str">
        <x:v>C70</x:v>
      </x:c>
      <x:c r="C56" s="64" t="str">
        <x:v>1</x:v>
      </x:c>
      <x:c r="D56" s="64" t="str">
        <x:v>Rail-monitor filter capacitor</x:v>
      </x:c>
      <x:c r="E56" s="64" t="str">
        <x:v>10nF</x:v>
      </x:c>
      <x:c r="F56" s="64" t="str">
        <x:v>Multiple</x:v>
      </x:c>
      <x:c r="G56" s="64" t="str">
        <x:v>TBD</x:v>
      </x:c>
      <x:c r="H56" s="64" t="str">
        <x:v>Capacitor_SMD:C_0402_1005Metric</x:v>
      </x:c>
      <x:c r="I56" s="64" t="str">
        <x:v>TBD</x:v>
      </x:c>
      <x:c r="J56" s="64" t="str">
        <x:v>SMT</x:v>
      </x:c>
      <x:c r="K56" s="64" t="str">
        <x:v>POPULATE</x:v>
      </x:c>
      <x:c r="L56" s="64" t="str">
        <x:v>With R70/R71; validate ADC settling and noise</x:v>
      </x:c>
    </x:row>
    <x:row r="57">
      <x:c r="A57" s="64" t="str">
        <x:v>EXACT_CANDIDATE</x:v>
      </x:c>
      <x:c r="B57" s="64" t="str">
        <x:v>C1,C2,C80,C81,C100,C102,C103,C104</x:v>
      </x:c>
      <x:c r="C57" s="64" t="str">
        <x:v>8</x:v>
      </x:c>
      <x:c r="D57" s="64" t="str">
        <x:v>IC decoupling</x:v>
      </x:c>
      <x:c r="E57" s="64" t="str">
        <x:v>100nF 50 V X7R</x:v>
      </x:c>
      <x:c r="F57" s="64" t="str">
        <x:v>Samsung Electro-Mechanics</x:v>
      </x:c>
      <x:c r="G57" s="64" t="str">
        <x:v>CL05B104KB54PNC</x:v>
      </x:c>
      <x:c r="H57" s="64" t="str">
        <x:v>Capacitor_SMD:C_0402_1005Metric</x:v>
      </x:c>
      <x:c r="I57" s="64" t="str">
        <x:v>C307331</x:v>
      </x:c>
      <x:c r="J57" s="64" t="str">
        <x:v>SMT extended</x:v>
      </x:c>
      <x:c r="K57" s="64" t="str">
        <x:v>POPULATE</x:v>
      </x:c>
      <x:c r="L57" s="64" t="str">
        <x:v>Frozen schematic count is eight decouplers; place at the associated supply pins; quote-time stock/substitution check required</x:v>
      </x:c>
    </x:row>
    <x:row r="58">
      <x:c r="A58" s="64" t="str">
        <x:v>PROVISIONAL</x:v>
      </x:c>
      <x:c r="B58" s="64" t="str">
        <x:v>C110</x:v>
      </x:c>
      <x:c r="C58" s="64" t="str">
        <x:v>1</x:v>
      </x:c>
      <x:c r="D58" s="64" t="str">
        <x:v>ESP EN delay capacitor</x:v>
      </x:c>
      <x:c r="E58" s="64" t="str">
        <x:v>1uF</x:v>
      </x:c>
      <x:c r="F58" s="64" t="str">
        <x:v>Multiple</x:v>
      </x:c>
      <x:c r="G58" s="64" t="str">
        <x:v>TBD</x:v>
      </x:c>
      <x:c r="H58" s="64" t="str">
        <x:v>Capacitor_SMD:C_0402_1005Metric</x:v>
      </x:c>
      <x:c r="I58" s="64" t="str">
        <x:v>TBD</x:v>
      </x:c>
      <x:c r="J58" s="64" t="str">
        <x:v>SMT</x:v>
      </x:c>
      <x:c r="K58" s="64" t="str">
        <x:v>POPULATE</x:v>
      </x:c>
      <x:c r="L58" s="64" t="str">
        <x:v>Works with R110; validate boot and brownout behavior</x:v>
      </x:c>
    </x:row>
    <x:row r="59">
      <x:c r="A59" s="64" t="str">
        <x:v>PROVISIONAL</x:v>
      </x:c>
      <x:c r="B59" s="64" t="str">
        <x:v>C101</x:v>
      </x:c>
      <x:c r="C59" s="64" t="str">
        <x:v>1</x:v>
      </x:c>
      <x:c r="D59" s="64" t="str">
        <x:v>EMC2305 local bulk</x:v>
      </x:c>
      <x:c r="E59" s="64" t="str">
        <x:v>1uF</x:v>
      </x:c>
      <x:c r="F59" s="64" t="str">
        <x:v>Multiple</x:v>
      </x:c>
      <x:c r="G59" s="64" t="str">
        <x:v>TBD</x:v>
      </x:c>
      <x:c r="H59" s="64" t="str">
        <x:v>Capacitor_SMD:C_0805_2012Metric</x:v>
      </x:c>
      <x:c r="I59" s="64" t="str">
        <x:v>TBD</x:v>
      </x:c>
      <x:c r="J59" s="64" t="str">
        <x:v>SMT</x:v>
      </x:c>
      <x:c r="K59" s="64" t="str">
        <x:v>POPULATE</x:v>
      </x:c>
      <x:c r="L59" s="64" t="str">
        <x:v>Place at U2 VDD; select voltage/dielectric</x:v>
      </x:c>
    </x:row>
    <x:row r="60">
      <x:c r="A60" s="64" t="str">
        <x:v>PROVISIONAL</x:v>
      </x:c>
      <x:c r="B60" s="64" t="str">
        <x:v>C3</x:v>
      </x:c>
      <x:c r="C60" s="64" t="str">
        <x:v>1</x:v>
      </x:c>
      <x:c r="D60" s="64" t="str">
        <x:v>Optional ESP 3.3 V rail bulk</x:v>
      </x:c>
      <x:c r="E60" s="64" t="str">
        <x:v>220uF low ESR</x:v>
      </x:c>
      <x:c r="F60" s="64" t="str">
        <x:v>Multiple</x:v>
      </x:c>
      <x:c r="G60" s="64" t="str">
        <x:v>TBD</x:v>
      </x:c>
      <x:c r="H60" s="64" t="str">
        <x:v>Capacitor_SMD:CP_Elec_8x10.2</x:v>
      </x:c>
      <x:c r="I60" s="64" t="str">
        <x:v>TBD</x:v>
      </x:c>
      <x:c r="J60" s="64" t="str">
        <x:v>Manual or SMT</x:v>
      </x:c>
      <x:c r="K60" s="64" t="str">
        <x:v>DNP</x:v>
      </x:c>
      <x:c r="L60" s="64" t="str">
        <x:v>Default open: AP64501 Table-1 compensation assumes the ceramic output bank; select exact C3 ESR/capacitance and validate Bode/load-step response before population</x:v>
      </x:c>
    </x:row>
    <x:row r="61">
      <x:c r="A61" s="64" t="str">
        <x:v>PROVISIONAL</x:v>
      </x:c>
      <x:c r="B61" s="64" t="str">
        <x:v>C20,C21</x:v>
      </x:c>
      <x:c r="C61" s="64" t="str">
        <x:v>2</x:v>
      </x:c>
      <x:c r="D61" s="64" t="str">
        <x:v>Fan rail bulk</x:v>
      </x:c>
      <x:c r="E61" s="64" t="str">
        <x:v>470uF 25 V low ESR</x:v>
      </x:c>
      <x:c r="F61" s="64" t="str">
        <x:v>Multiple</x:v>
      </x:c>
      <x:c r="G61" s="64" t="str">
        <x:v>TBD</x:v>
      </x:c>
      <x:c r="H61" s="64" t="str">
        <x:v>Capacitor_THT:CP_Radial_D10.0mm_P5.00mm</x:v>
      </x:c>
      <x:c r="I61" s="64" t="str">
        <x:v>TBD</x:v>
      </x:c>
      <x:c r="J61" s="64" t="str">
        <x:v>THT/manual</x:v>
      </x:c>
      <x:c r="K61" s="64" t="str">
        <x:v>SELECT_BEFORE_RELEASE</x:v>
      </x:c>
      <x:c r="L61" s="64" t="str">
        <x:v>Place near fan branches; size from simultaneous startup/stall measurement</x:v>
      </x:c>
    </x:row>
    <x:row r="62">
      <x:c r="A62" s="64" t="str">
        <x:v>PROVISIONAL</x:v>
      </x:c>
      <x:c r="B62" s="64" t="str">
        <x:v>C111</x:v>
      </x:c>
      <x:c r="C62" s="64" t="str">
        <x:v>1</x:v>
      </x:c>
      <x:c r="D62" s="64" t="str">
        <x:v>USB shield coupling capacitor</x:v>
      </x:c>
      <x:c r="E62" s="64" t="str">
        <x:v>1nF 2 kV</x:v>
      </x:c>
      <x:c r="F62" s="64" t="str">
        <x:v>Multiple</x:v>
      </x:c>
      <x:c r="G62" s="64" t="str">
        <x:v>TBD</x:v>
      </x:c>
      <x:c r="H62" s="64" t="str">
        <x:v>Capacitor_SMD:C_0805_2012Metric</x:v>
      </x:c>
      <x:c r="I62" s="64" t="str">
        <x:v>TBD</x:v>
      </x:c>
      <x:c r="J62" s="64" t="str">
        <x:v>SMT extended</x:v>
      </x:c>
      <x:c r="K62" s="64" t="str">
        <x:v>POPULATE</x:v>
      </x:c>
      <x:c r="L62" s="64" t="str">
        <x:v>Parallel with R116 between shield and logic ground; select a safety/voltage-appropriate exact part</x:v>
      </x:c>
    </x:row>
    <x:row r="63">
      <x:c r="A63" s="64" t="str">
        <x:v>EXACT_CANDIDATE</x:v>
      </x:c>
      <x:c r="B63" s="64" t="str">
        <x:v>C112</x:v>
      </x:c>
      <x:c r="C63" s="64" t="str">
        <x:v>1</x:v>
      </x:c>
      <x:c r="D63" s="64" t="str">
        <x:v>USB ESD local VBUS bypass</x:v>
      </x:c>
      <x:c r="E63" s="64" t="str">
        <x:v>100nF 50 V X7R</x:v>
      </x:c>
      <x:c r="F63" s="64" t="str">
        <x:v>Samsung Electro-Mechanics</x:v>
      </x:c>
      <x:c r="G63" s="64" t="str">
        <x:v>CL05B104KB54PNC</x:v>
      </x:c>
      <x:c r="H63" s="64" t="str">
        <x:v>Capacitor_SMD:C_0402_1005Metric</x:v>
      </x:c>
      <x:c r="I63" s="64" t="str">
        <x:v>C307331</x:v>
      </x:c>
      <x:c r="J63" s="64" t="str">
        <x:v>SMT extended</x:v>
      </x:c>
      <x:c r="K63" s="64" t="str">
        <x:v>POPULATE</x:v>
      </x:c>
      <x:c r="L63" s="64" t="str">
        <x:v>Place directly between U9 USBLC6 pin 5 VBUS and pin 2 GND with minimal loop area per ST Figure 17</x:v>
      </x:c>
    </x:row>
    <x:row r="64">
      <x:c r="A64" s="64" t="str">
        <x:v>PROVISIONAL</x:v>
      </x:c>
      <x:c r="B64" s="64" t="str">
        <x:v>C200,C201,C202,C203</x:v>
      </x:c>
      <x:c r="C64" s="64" t="str">
        <x:v>4</x:v>
      </x:c>
      <x:c r="D64" s="64" t="str">
        <x:v>Optional fan tach filters</x:v>
      </x:c>
      <x:c r="E64" s="64" t="str">
        <x:v>100pF C0G</x:v>
      </x:c>
      <x:c r="F64" s="64" t="str">
        <x:v>Multiple</x:v>
      </x:c>
      <x:c r="G64" s="64" t="str">
        <x:v>TBD</x:v>
      </x:c>
      <x:c r="H64" s="64" t="str">
        <x:v>Capacitor_SMD:C_0402_1005Metric</x:v>
      </x:c>
      <x:c r="I64" s="64" t="str">
        <x:v>TBD</x:v>
      </x:c>
      <x:c r="J64" s="64" t="str">
        <x:v>SMT</x:v>
      </x:c>
      <x:c r="K64" s="64" t="str">
        <x:v>DNP</x:v>
      </x:c>
      <x:c r="L64" s="64" t="str">
        <x:v>Default open; populate only after exact-fan tach waveform validation</x:v>
      </x:c>
    </x:row>
    <x:row r="65">
      <x:c r="A65" s="64" t="str">
        <x:v>EXACT_CANDIDATE</x:v>
      </x:c>
      <x:c r="B65" s="64" t="str">
        <x:v>TP1,TP2,TP3,TP4,TP5,TP6,TP7,TP8,TP9,TP10,TP11,TP12,TP13,TP14,TP15,TP16,TP17,TP18,TP19,TP20,TP21,TP22,TP23,TP24,TP25,TP26,TP27,TP28,TP29,TP30,TP31,TP32,TP33,TP34,TP35,TP36,TP37</x:v>
      </x:c>
      <x:c r="C65" s="64" t="str">
        <x:v>37</x:v>
      </x:c>
      <x:c r="D65" s="64" t="str">
        <x:v>Labeled test points</x:v>
      </x:c>
      <x:c r="E65" s="64" t="str">
        <x:v>Bare 1.0 mm SMT pads</x:v>
      </x:c>
      <x:c r="F65" s="64" t="str">
        <x:v>N/A</x:v>
      </x:c>
      <x:c r="G65" s="64" t="str">
        <x:v>N/A</x:v>
      </x:c>
      <x:c r="H65" s="64" t="str">
        <x:v>TestPoint:TestPoint_Pad_D1.0mm</x:v>
      </x:c>
      <x:c r="I65" s="64" t="str">
        <x:v>N/A</x:v>
      </x:c>
      <x:c r="J65" s="64" t="str">
        <x:v>Bare PCB</x:v>
      </x:c>
      <x:c r="K65" s="64" t="str">
        <x:v>PCB_FEATURE</x:v>
      </x:c>
      <x:c r="L65" s="64" t="str">
        <x:v>Frozen schematic contains TP1 through TP37; these are copper features, not purchased components</x:v>
      </x:c>
    </x:row>
    <x:row r="66">
      <x:c r="A66" s="64" t="str">
        <x:v>TBD</x:v>
      </x:c>
      <x:c r="B66" s="64" t="str">
        <x:v>FEXT1</x:v>
      </x:c>
      <x:c r="C66" s="64" t="str">
        <x:v>1</x:v>
      </x:c>
      <x:c r="D66" s="64" t="str">
        <x:v>External inline fan-rail fuse</x:v>
      </x:c>
      <x:c r="E66" s="64" t="str">
        <x:v>Measured-value fuse</x:v>
      </x:c>
      <x:c r="F66" s="64" t="str">
        <x:v>Target-dependent</x:v>
      </x:c>
      <x:c r="G66" s="64" t="str">
        <x:v>TBD</x:v>
      </x:c>
      <x:c r="H66" s="64" t="str">
        <x:v>Off-board</x:v>
      </x:c>
      <x:c r="I66" s="64" t="str">
        <x:v>TBD</x:v>
      </x:c>
      <x:c r="J66" s="64" t="str">
        <x:v>Manual</x:v>
      </x:c>
      <x:c r="K66" s="64" t="str">
        <x:v>REQUIRED_EXTERNAL</x:v>
      </x:c>
      <x:c r="L66" s="64" t="str">
        <x:v>Off-board system item; size from four-fan simultaneous stall/start current and selected connector/cable ratings</x:v>
      </x:c>
    </x:row>
  </x:sheetData>
  <x:conditionalFormatting sqref="A2:A66">
    <x:cfRule type="containsText" dxfId="0" priority="1" operator="containsText" text="PROVISIONAL"/>
    <x:cfRule type="containsText" dxfId="1" priority="2" operator="containsText" text="TBD"/>
  </x:conditionalFormatting>
  <x:conditionalFormatting sqref="K2:K66">
    <x:cfRule type="containsText" dxfId="2" priority="3" operator="containsText" text="POPULATE"/>
    <x:cfRule type="containsText" dxfId="3" priority="4" operator="containsText" text="SELECT_BEFORE_RELEASE"/>
    <x:cfRule type="containsText" dxfId="4" priority="5" operator="containsText" text="DNP"/>
    <x:cfRule type="containsText" dxfId="5" priority="6" operator="containsText" text="STOP_ORDER"/>
  </x:conditionalFormatting>
  <x:pageMargins left="0.7" right="0.7" top="0.75" bottom="0.75" header="0.3" footer="0.3"/>
  <x:tableParts count="1">
    <x:tablePart xmlns:r="http://schemas.openxmlformats.org/officeDocument/2006/relationships" r:id="Re418f441e9eb41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  <x:col min="3" max="3" width="34" hidden="0" customWidth="1"/>
    <x:col min="4" max="4" width="18" hidden="0" customWidth="1"/>
  </x:cols>
  <x:sheetData>
    <x:row r="1" ht="30" customHeight="1">
      <x:c r="A1" s="60" t="str">
        <x:v>Comment</x:v>
      </x:c>
      <x:c r="B1" s="60" t="str">
        <x:v>Designator</x:v>
      </x:c>
      <x:c r="C1" s="60" t="str">
        <x:v>Footprint</x:v>
      </x:c>
      <x:c r="D1" s="60" t="str">
        <x:v>LCSC Part #</x:v>
      </x:c>
    </x:row>
    <x:row r="2">
      <x:c r="A2" s="64" t="str">
        <x:v>ESP32-S3-WROOM-1-N16R8</x:v>
      </x:c>
      <x:c r="B2" s="64" t="str">
        <x:v>U1</x:v>
      </x:c>
      <x:c r="C2" s="64" t="str">
        <x:v>ChainAxe:ESP32-S3-WROOM-1_v1.8</x:v>
      </x:c>
      <x:c r="D2" s="64" t="str">
        <x:v>C2913202</x:v>
      </x:c>
    </x:row>
    <x:row r="3">
      <x:c r="A3" s="64" t="str">
        <x:v>EMC2305-1-AP-TR</x:v>
      </x:c>
      <x:c r="B3" s="64" t="str">
        <x:v>U2</x:v>
      </x:c>
      <x:c r="C3" s="64" t="str">
        <x:v>ChainAxe:EMC2305_QFN16_4x4_P0.65_EP2.2</x:v>
      </x:c>
      <x:c r="D3" s="64" t="str">
        <x:v>C621415</x:v>
      </x:c>
    </x:row>
    <x:row r="4">
      <x:c r="A4" s="64" t="str">
        <x:v>AP64501SP-13</x:v>
      </x:c>
      <x:c r="B4" s="64" t="str">
        <x:v>U3</x:v>
      </x:c>
      <x:c r="C4" s="64" t="str">
        <x:v>ChainAxe:AP64501_SO8EP</x:v>
      </x:c>
      <x:c r="D4" s="64" t="str">
        <x:v>C2071517</x:v>
      </x:c>
    </x:row>
    <x:row r="5">
      <x:c r="A5" s="64" t="str">
        <x:v>SRP5030T-3R3M</x:v>
      </x:c>
      <x:c r="B5" s="64" t="str">
        <x:v>L1</x:v>
      </x:c>
      <x:c r="C5" s="64" t="str">
        <x:v>Inductor_SMD:L_Bourns-SRP5030TA_5.7x5.2mm</x:v>
      </x:c>
      <x:c r="D5" s="64" t="str">
        <x:v>C189931</x:v>
      </x:c>
    </x:row>
    <x:row r="6">
      <x:c r="A6" s="64" t="str">
        <x:v>TPS22917DBVR</x:v>
      </x:c>
      <x:c r="B6" s="64" t="str">
        <x:v>U5</x:v>
      </x:c>
      <x:c r="C6" s="64" t="str">
        <x:v>Package_TO_SOT_SMD:SOT-23-6</x:v>
      </x:c>
      <x:c r="D6" s="64" t="str">
        <x:v>C2681320</x:v>
      </x:c>
    </x:row>
    <x:row r="7">
      <x:c r="A7" s="64" t="str">
        <x:v>SN74AXC4T774PWR</x:v>
      </x:c>
      <x:c r="B7" s="64" t="str">
        <x:v>U6</x:v>
      </x:c>
      <x:c r="C7" s="64" t="str">
        <x:v>Package_SO:TSSOP-16_4.4x5mm_P0.65mm</x:v>
      </x:c>
      <x:c r="D7" s="64" t="str">
        <x:v>C1849453</x:v>
      </x:c>
    </x:row>
    <x:row r="8">
      <x:c r="A8" s="64" t="str">
        <x:v>TMUX1511PWR</x:v>
      </x:c>
      <x:c r="B8" s="64" t="str">
        <x:v>U7</x:v>
      </x:c>
      <x:c r="C8" s="64" t="str">
        <x:v>Package_SO:TSSOP-14_4.4x5mm_P0.65mm</x:v>
      </x:c>
      <x:c r="D8" s="64" t="str">
        <x:v>C2866750</x:v>
      </x:c>
    </x:row>
    <x:row r="9">
      <x:c r="A9" s="64" t="str">
        <x:v>SN74LVC126APWR</x:v>
      </x:c>
      <x:c r="B9" s="64" t="str">
        <x:v>U8</x:v>
      </x:c>
      <x:c r="C9" s="64" t="str">
        <x:v>Package_SO:TSSOP-14_4.4x5mm_P0.65mm</x:v>
      </x:c>
      <x:c r="D9" s="64" t="str">
        <x:v>C7815</x:v>
      </x:c>
    </x:row>
    <x:row r="10">
      <x:c r="A10" s="64" t="str">
        <x:v>SN74LVC1G125DBVR</x:v>
      </x:c>
      <x:c r="B10" s="64" t="str">
        <x:v>U12</x:v>
      </x:c>
      <x:c r="C10" s="64" t="str">
        <x:v>Package_TO_SOT_SMD:SOT-23-5</x:v>
      </x:c>
      <x:c r="D10" s="64" t="str">
        <x:v>C23654</x:v>
      </x:c>
    </x:row>
    <x:row r="11">
      <x:c r="A11" s="64" t="str">
        <x:v>2N7002</x:v>
      </x:c>
      <x:c r="B11" s="64" t="str">
        <x:v>Q1,Q2,Q3,Q4</x:v>
      </x:c>
      <x:c r="C11" s="64" t="str">
        <x:v>Package_TO_SOT_SMD:SOT-23</x:v>
      </x:c>
      <x:c r="D11" s="64" t="str">
        <x:v>C8545</x:v>
      </x:c>
    </x:row>
    <x:row r="12">
      <x:c r="A12" s="64" t="str">
        <x:v>DMP3013SFV-7 provisional</x:v>
      </x:c>
      <x:c r="B12" s="64" t="str">
        <x:v>Q5,Q6</x:v>
      </x:c>
      <x:c r="C12" s="64" t="str">
        <x:v>ChainAxe:PowerDI3333-8_DMP3013SFV</x:v>
      </x:c>
      <x:c r="D12" s="64" t="str">
        <x:v>C264098</x:v>
      </x:c>
    </x:row>
    <x:row r="13">
      <x:c r="A13" s="64" t="str">
        <x:v>BZX84C12LT1G provisional</x:v>
      </x:c>
      <x:c r="B13" s="64" t="str">
        <x:v>ZD1</x:v>
      </x:c>
      <x:c r="C13" s="64" t="str">
        <x:v>Package_TO_SOT_SMD:SOT-23</x:v>
      </x:c>
      <x:c r="D13" s="64" t="str">
        <x:v>C82475</x:v>
      </x:c>
    </x:row>
    <x:row r="14">
      <x:c r="A14" s="64" t="str">
        <x:v>USBLC6-2SC6</x:v>
      </x:c>
      <x:c r="B14" s="64" t="str">
        <x:v>U9</x:v>
      </x:c>
      <x:c r="C14" s="64" t="str">
        <x:v>Package_TO_SOT_SMD:SOT-23-6</x:v>
      </x:c>
      <x:c r="D14" s="64" t="str">
        <x:v>C7519</x:v>
      </x:c>
    </x:row>
    <x:row r="15">
      <x:c r="A15" s="64" t="str">
        <x:v>TPD4E05U06DQAR</x:v>
      </x:c>
      <x:c r="B15" s="64" t="str">
        <x:v>U10,U11,U13</x:v>
      </x:c>
      <x:c r="C15" s="64" t="str">
        <x:v>ChainAxe:TI_DQA0010A_USON10_2.5x1.0_P0.5</x:v>
      </x:c>
      <x:c r="D15" s="64" t="str">
        <x:v>C138714</x:v>
      </x:c>
    </x:row>
    <x:row r="16">
      <x:c r="A16" s="64" t="str">
        <x:v>12k 1%</x:v>
      </x:c>
      <x:c r="B16" s="64" t="str">
        <x:v>R60</x:v>
      </x:c>
      <x:c r="C16" s="64" t="str">
        <x:v>Resistor_SMD:R_0402_1005Metric</x:v>
      </x:c>
      <x:c r="D16" s="64" t="str">
        <x:v>C25752</x:v>
      </x:c>
    </x:row>
    <x:row r="17">
      <x:c r="A17" s="64" t="str">
        <x:v>100k 1%</x:v>
      </x:c>
      <x:c r="B17" s="64" t="str">
        <x:v>R50,R70,R80,R83,R84,R105,R106,R107,R108,R109,R200,R203,R206,R209</x:v>
      </x:c>
      <x:c r="C17" s="64" t="str">
        <x:v>Resistor_SMD:R_0402_1005Metric</x:v>
      </x:c>
      <x:c r="D17" s="64" t="str">
        <x:v>C25741</x:v>
      </x:c>
    </x:row>
    <x:row r="18">
      <x:c r="A18" s="64" t="str">
        <x:v>10k 1%</x:v>
      </x:c>
      <x:c r="B18" s="64" t="str">
        <x:v>R89,R110,R111</x:v>
      </x:c>
      <x:c r="C18" s="64" t="str">
        <x:v>Resistor_SMD:R_0402_1005Metric</x:v>
      </x:c>
      <x:c r="D18" s="64" t="str">
        <x:v>C25744</x:v>
      </x:c>
    </x:row>
    <x:row r="19">
      <x:c r="A19" s="64" t="str">
        <x:v>5.1k 1%</x:v>
      </x:c>
      <x:c r="B19" s="64" t="str">
        <x:v>R112,R113</x:v>
      </x:c>
      <x:c r="C19" s="64" t="str">
        <x:v>Resistor_SMD:R_0402_1005Metric</x:v>
      </x:c>
      <x:c r="D19" s="64" t="str">
        <x:v>C25905</x:v>
      </x:c>
    </x:row>
    <x:row r="20">
      <x:c r="A20" s="64" t="str">
        <x:v>33R 1%</x:v>
      </x:c>
      <x:c r="B20" s="64" t="str">
        <x:v>R81,R82</x:v>
      </x:c>
      <x:c r="C20" s="64" t="str">
        <x:v>Resistor_SMD:R_0402_1005Metric</x:v>
      </x:c>
      <x:c r="D20" s="64" t="str">
        <x:v>C25105</x:v>
      </x:c>
    </x:row>
    <x:row r="21">
      <x:c r="A21" s="64" t="str">
        <x:v>4.7k 1%</x:v>
      </x:c>
      <x:c r="B21" s="64" t="str">
        <x:v>R85,R86,R87,R88,R93,R95,R97,R100,R101,R102</x:v>
      </x:c>
      <x:c r="C21" s="64" t="str">
        <x:v>Resistor_SMD:R_0402_1005Metric</x:v>
      </x:c>
      <x:c r="D21" s="64" t="str">
        <x:v>C25900</x:v>
      </x:c>
    </x:row>
    <x:row r="22">
      <x:c r="A22" s="64" t="str">
        <x:v>36k 1%</x:v>
      </x:c>
      <x:c r="B22" s="64" t="str">
        <x:v>R201,R204,R207,R210</x:v>
      </x:c>
      <x:c r="C22" s="64" t="str">
        <x:v>Resistor_SMD:R_0402_1005Metric</x:v>
      </x:c>
      <x:c r="D22" s="64" t="str">
        <x:v>C137999</x:v>
      </x:c>
    </x:row>
    <x:row r="23">
      <x:c r="A23" s="64" t="str">
        <x:v>22k 1%</x:v>
      </x:c>
      <x:c r="B23" s="64" t="str">
        <x:v>R103</x:v>
      </x:c>
      <x:c r="C23" s="64" t="str">
        <x:v>Resistor_SMD:R_0402_1005Metric</x:v>
      </x:c>
      <x:c r="D23" s="64" t="str">
        <x:v>C25768</x:v>
      </x:c>
    </x:row>
    <x:row r="24">
      <x:c r="A24" s="64" t="str">
        <x:v>33k 1%</x:v>
      </x:c>
      <x:c r="B24" s="64" t="str">
        <x:v>R104</x:v>
      </x:c>
      <x:c r="C24" s="64" t="str">
        <x:v>Resistor_SMD:R_0402_1005Metric</x:v>
      </x:c>
      <x:c r="D24" s="64" t="str">
        <x:v>C25779</x:v>
      </x:c>
    </x:row>
    <x:row r="25">
      <x:c r="A25" s="64" t="str">
        <x:v>100nF 50V X7R</x:v>
      </x:c>
      <x:c r="B25" s="64" t="str">
        <x:v>C1,C2,C15,C80,C81,C100,C102,C103,C104,C112</x:v>
      </x:c>
      <x:c r="C25" s="64" t="str">
        <x:v>Capacitor_SMD:C_0402_1005Metric</x:v>
      </x:c>
      <x:c r="D25" s="64" t="str">
        <x:v>C307331</x:v>
      </x:c>
    </x:row>
  </x:sheetData>
  <x:pageMargins left="0.7" right="0.7" top="0.75" bottom="0.75" header="0.3" footer="0.3"/>
  <x:tableParts count="1">
    <x:tablePart xmlns:r="http://schemas.openxmlformats.org/officeDocument/2006/relationships" r:id="Rde93d2575f3947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8" t="str">
        <x:v>ChainAxe Rev A.1 — Engineering BOM</x:v>
      </x:c>
      <x:c r="B1" s="8"/>
      <x:c r="C1" s="8"/>
      <x:c r="D1" s="8"/>
      <x:c r="E1" s="8"/>
      <x:c r="F1" s="8"/>
    </x:row>
    <x:row r="3">
      <x:c r="A3" s="14" t="str">
        <x:v>Metric</x:v>
      </x:c>
      <x:c r="B3" s="15" t="str">
        <x:v>Count</x:v>
      </x:c>
      <x:c r="D3" s="32" t="str">
        <x:v>Release status</x:v>
      </x:c>
      <x:c r="E3" s="32"/>
      <x:c r="F3" s="32"/>
    </x:row>
    <x:row r="4">
      <x:c r="A4" s="18" t="str">
        <x:v>Engineering BOM lines</x:v>
      </x:c>
      <x:c r="B4" s="24" t="n">
        <x:f>COUNTA('Engineering BOM'!$A$2:$A$200)</x:f>
        <x:v>65</x:v>
      </x:c>
      <x:c r="D4" s="42" t="str">
        <x:v>ENGINEERING PROTOTYPE — NOT ORDER READY</x:v>
      </x:c>
      <x:c r="E4" s="42"/>
      <x:c r="F4" s="42"/>
    </x:row>
    <x:row r="5">
      <x:c r="A5" s="19" t="str">
        <x:v>Populated line items</x:v>
      </x:c>
      <x:c r="B5" s="25" t="n">
        <x:f>COUNTIF('Engineering BOM'!$K$2:$K$200,"POPULATE")</x:f>
        <x:v>42</x:v>
      </x:c>
      <x:c r="D5" s="40" t="str">
        <x:v>TBD and provisional parts are intentional.</x:v>
      </x:c>
      <x:c r="E5" s="40"/>
      <x:c r="F5" s="40"/>
    </x:row>
    <x:row r="6">
      <x:c r="A6" s="19" t="str">
        <x:v>Select before release</x:v>
      </x:c>
      <x:c r="B6" s="25" t="n">
        <x:f>COUNTIF('Engineering BOM'!$K$2:$K$200,"SELECT_BEFORE_RELEASE")</x:f>
        <x:v>8</x:v>
      </x:c>
      <x:c r="D6" s="40" t="str">
        <x:v>The JLC sheet is a reviewed seed, not an upload-ready release.</x:v>
      </x:c>
      <x:c r="E6" s="40"/>
      <x:c r="F6" s="40"/>
    </x:row>
    <x:row r="7">
      <x:c r="A7" s="19" t="str">
        <x:v>DNP line items</x:v>
      </x:c>
      <x:c r="B7" s="25" t="n">
        <x:f>COUNTIF('Engineering BOM'!$K$2:$K$200,"DNP")</x:f>
        <x:v>7</x:v>
      </x:c>
      <x:c r="D7" s="40" t="str">
        <x:v>Run ERC/DRC and close every stop-order gate first.</x:v>
      </x:c>
      <x:c r="E7" s="40"/>
      <x:c r="F7" s="40"/>
    </x:row>
    <x:row r="8">
      <x:c r="A8" s="19" t="str">
        <x:v>Stop-order line items</x:v>
      </x:c>
      <x:c r="B8" s="25" t="n">
        <x:f>COUNTIF('Engineering BOM'!$K$2:$K$200,"STOP_ORDER")</x:f>
        <x:v>3</x:v>
      </x:c>
      <x:c r="D8" s="40" t="str">
        <x:v>Exact connector fit and fan-current validation remain required.</x:v>
      </x:c>
      <x:c r="E8" s="40"/>
      <x:c r="F8" s="40"/>
    </x:row>
    <x:row r="9">
      <x:c r="A9" s="19" t="str">
        <x:v>Required external items</x:v>
      </x:c>
      <x:c r="B9" s="25" t="n">
        <x:f>COUNTIF('Engineering BOM'!$K$2:$K$200,"REQUIRED_EXTERNAL")</x:f>
        <x:v>1</x:v>
      </x:c>
    </x:row>
    <x:row r="10">
      <x:c r="A10" s="20" t="str">
        <x:v>Rows with TBD LCSC code</x:v>
      </x:c>
      <x:c r="B10" s="26" t="n">
        <x:f>COUNTIF('Engineering BOM'!$I$2:$I$200,"TBD")</x:f>
        <x:v>28</x:v>
      </x:c>
    </x:row>
    <x:row r="11">
      <x:c r="A11" s="46" t="str">
        <x:v>Source files: bom/chainaxe-reva-bom.csv and bom/jlcpcb-bom-template.csv</x:v>
      </x:c>
      <x:c r="B11" s="46"/>
      <x:c r="C11" s="46"/>
      <x:c r="D11" s="46"/>
      <x:c r="E11" s="46"/>
      <x:c r="F11" s="46"/>
    </x:row>
  </x:sheetData>
  <x:mergeCells>
    <x:mergeCell ref="A1:F1"/>
    <x:mergeCell ref="D3:F3"/>
    <x:mergeCell ref="D4:F4"/>
    <x:mergeCell ref="D5:F5"/>
    <x:mergeCell ref="D6:F6"/>
    <x:mergeCell ref="D7:F7"/>
    <x:mergeCell ref="D8:F8"/>
    <x:mergeCell ref="A11:F11"/>
  </x:mergeCells>
  <x:pageMargins left="0.7" right="0.7" top="0.75" bottom="0.75" header="0.3" footer="0.3"/>
</x:worksheet>
</file>